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345e8332bc4317" /></Relationships>
</file>

<file path=xl/workbook.xml><?xml version="1.0" encoding="utf-8"?>
<x:workbook xmlns:x="http://schemas.openxmlformats.org/spreadsheetml/2006/main">
  <x:sheets>
    <x:sheet xmlns:r="http://schemas.openxmlformats.org/officeDocument/2006/relationships" name="Übersicht" sheetId="1" r:id="Rffbc64f95d6c4209"/>
    <x:sheet xmlns:r="http://schemas.openxmlformats.org/officeDocument/2006/relationships" name="Alle Details" sheetId="2" r:id="R2e626518124046cb"/>
    <x:sheet xmlns:r="http://schemas.openxmlformats.org/officeDocument/2006/relationships" name="Championpool" sheetId="3" r:id="R542ffa56f64f40c1"/>
    <x:sheet xmlns:r="http://schemas.openxmlformats.org/officeDocument/2006/relationships" name="Statistik" sheetId="4" r:id="Rf019169477c14e0e"/>
    <x:sheet xmlns:r="http://schemas.openxmlformats.org/officeDocument/2006/relationships" name="Leitfaden" sheetId="5" r:id="R7f8284d1fa7f4dc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0"/>
  </x:numFmts>
  <x:fonts count="7">
    <x:font>
      <x:sz val="11"/>
      <x:name val="Carlito"/>
    </x:font>
    <x:font>
      <x:sz val="11"/>
      <x:color rgb="FF202B3B"/>
      <x:name val="Arial"/>
    </x:font>
    <x:font>
      <x:b/>
      <x:sz val="16"/>
      <x:color rgb="FF243B61"/>
      <x:name val="Arial"/>
    </x:font>
    <x:font>
      <x:b/>
      <x:sz val="11"/>
      <x:color rgb="FFFFFFFF"/>
      <x:name val="Arial"/>
    </x:font>
    <x:font>
      <x:sz val="11"/>
      <x:color rgb="FF285D91"/>
      <x:name val="Arial"/>
    </x:font>
    <x:font>
      <x:b/>
      <x:sz val="14"/>
      <x:color rgb="FF243B61"/>
      <x:name val="Arial"/>
    </x:font>
    <x:font>
      <x:b/>
      <x:sz val="11"/>
      <x:color rgb="FF33445D"/>
      <x:name val="Arial"/>
    </x:font>
  </x:fonts>
  <x:fills count="9">
    <x:fill>
      <x:patternFill patternType="none"/>
    </x:fill>
    <x:fill>
      <x:patternFill patternType="gray125"/>
    </x:fill>
    <x:fill>
      <x:patternFill patternType="solid">
        <x:fgColor rgb="FF243B61"/>
      </x:patternFill>
    </x:fill>
    <x:fill>
      <x:patternFill patternType="solid">
        <x:fgColor rgb="FFFFF0BD"/>
      </x:patternFill>
    </x:fill>
    <x:fill>
      <x:patternFill patternType="solid">
        <x:fgColor rgb="FFFADCAE"/>
      </x:patternFill>
    </x:fill>
    <x:fill>
      <x:patternFill patternType="solid">
        <x:fgColor rgb="FFEAF2CD"/>
      </x:patternFill>
    </x:fill>
    <x:fill>
      <x:patternFill patternType="solid">
        <x:fgColor rgb="FFD6EAD4"/>
      </x:patternFill>
    </x:fill>
    <x:fill>
      <x:patternFill patternType="solid">
        <x:fgColor rgb="FFF3C5BA"/>
      </x:patternFill>
    </x:fill>
    <x:fill>
      <x:patternFill patternType="solid">
        <x:fgColor rgb="FFF3F5F8"/>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0" borderId="0" xfId="0" applyNumberFormat="1" applyFont="1" applyFill="1" applyBorder="1" applyAlignment="1">
      <x:alignment vertical="top" wrapText="0"/>
    </x:xf>
    <x:xf numFmtId="202" fontId="1"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cellXfs>
  <x:cellStyles count="1">
    <x:cellStyle name="Normal" xfId="0"/>
  </x:cellStyles>
  <x:dxfs count="21">
    <x:dxf>
      <x:font>
        <x:b/>
        <x:color rgb="FF202B3B"/>
      </x:font>
      <x:fill>
        <x:patternFill patternType="solid">
          <x:bgColor rgb="FFB8E0D2"/>
        </x:patternFill>
      </x:fill>
    </x:dxf>
    <x:dxf>
      <x:font>
        <x:b/>
        <x:color rgb="FF202B3B"/>
      </x:font>
      <x:fill>
        <x:patternFill patternType="solid">
          <x:bgColor rgb="FFD6EAD4"/>
        </x:patternFill>
      </x:fill>
    </x:dxf>
    <x:dxf>
      <x:font>
        <x:b/>
        <x:color rgb="FF202B3B"/>
      </x:font>
      <x:fill>
        <x:patternFill patternType="solid">
          <x:bgColor rgb="FFEAF2CD"/>
        </x:patternFill>
      </x:fill>
    </x:dxf>
    <x:dxf>
      <x:font>
        <x:b/>
        <x:color rgb="FF202B3B"/>
      </x:font>
      <x:fill>
        <x:patternFill patternType="solid">
          <x:bgColor rgb="FFFFF0BD"/>
        </x:patternFill>
      </x:fill>
    </x:dxf>
    <x:dxf>
      <x:font>
        <x:b/>
        <x:color rgb="FF202B3B"/>
      </x:font>
      <x:fill>
        <x:patternFill patternType="solid">
          <x:bgColor rgb="FFFADCAE"/>
        </x:patternFill>
      </x:fill>
    </x:dxf>
    <x:dxf>
      <x:font>
        <x:b/>
        <x:color rgb="FF202B3B"/>
      </x:font>
      <x:fill>
        <x:patternFill patternType="solid">
          <x:bgColor rgb="FFF3C5BA"/>
        </x:patternFill>
      </x:fill>
    </x:dxf>
    <x:dxf>
      <x:font>
        <x:b/>
        <x:color rgb="FF202B3B"/>
      </x:font>
      <x:fill>
        <x:patternFill patternType="solid">
          <x:bgColor rgb="FFE5B6C8"/>
        </x:patternFill>
      </x:fill>
    </x:dxf>
    <x:dxf>
      <x:font>
        <x:b/>
        <x:color rgb="FF202B3B"/>
      </x:font>
      <x:fill>
        <x:patternFill patternType="solid">
          <x:bgColor rgb="FFB8E0D2"/>
        </x:patternFill>
      </x:fill>
    </x:dxf>
    <x:dxf>
      <x:font>
        <x:b/>
        <x:color rgb="FF202B3B"/>
      </x:font>
      <x:fill>
        <x:patternFill patternType="solid">
          <x:bgColor rgb="FFD6EAD4"/>
        </x:patternFill>
      </x:fill>
    </x:dxf>
    <x:dxf>
      <x:font>
        <x:b/>
        <x:color rgb="FF202B3B"/>
      </x:font>
      <x:fill>
        <x:patternFill patternType="solid">
          <x:bgColor rgb="FFEAF2CD"/>
        </x:patternFill>
      </x:fill>
    </x:dxf>
    <x:dxf>
      <x:font>
        <x:b/>
        <x:color rgb="FF202B3B"/>
      </x:font>
      <x:fill>
        <x:patternFill patternType="solid">
          <x:bgColor rgb="FFFFF0BD"/>
        </x:patternFill>
      </x:fill>
    </x:dxf>
    <x:dxf>
      <x:font>
        <x:b/>
        <x:color rgb="FF202B3B"/>
      </x:font>
      <x:fill>
        <x:patternFill patternType="solid">
          <x:bgColor rgb="FFFADCAE"/>
        </x:patternFill>
      </x:fill>
    </x:dxf>
    <x:dxf>
      <x:font>
        <x:b/>
        <x:color rgb="FF202B3B"/>
      </x:font>
      <x:fill>
        <x:patternFill patternType="solid">
          <x:bgColor rgb="FFF3C5BA"/>
        </x:patternFill>
      </x:fill>
    </x:dxf>
    <x:dxf>
      <x:font>
        <x:b/>
        <x:color rgb="FF202B3B"/>
      </x:font>
      <x:fill>
        <x:patternFill patternType="solid">
          <x:bgColor rgb="FFE5B6C8"/>
        </x:patternFill>
      </x:fill>
    </x:dxf>
    <x:dxf>
      <x:font>
        <x:b/>
        <x:color rgb="FF202B3B"/>
      </x:font>
      <x:fill>
        <x:patternFill patternType="solid">
          <x:bgColor rgb="FFB8E0D2"/>
        </x:patternFill>
      </x:fill>
    </x:dxf>
    <x:dxf>
      <x:font>
        <x:b/>
        <x:color rgb="FF202B3B"/>
      </x:font>
      <x:fill>
        <x:patternFill patternType="solid">
          <x:bgColor rgb="FFD6EAD4"/>
        </x:patternFill>
      </x:fill>
    </x:dxf>
    <x:dxf>
      <x:font>
        <x:b/>
        <x:color rgb="FF202B3B"/>
      </x:font>
      <x:fill>
        <x:patternFill patternType="solid">
          <x:bgColor rgb="FFEAF2CD"/>
        </x:patternFill>
      </x:fill>
    </x:dxf>
    <x:dxf>
      <x:font>
        <x:b/>
        <x:color rgb="FF202B3B"/>
      </x:font>
      <x:fill>
        <x:patternFill patternType="solid">
          <x:bgColor rgb="FFFFF0BD"/>
        </x:patternFill>
      </x:fill>
    </x:dxf>
    <x:dxf>
      <x:font>
        <x:b/>
        <x:color rgb="FF202B3B"/>
      </x:font>
      <x:fill>
        <x:patternFill patternType="solid">
          <x:bgColor rgb="FFFADCAE"/>
        </x:patternFill>
      </x:fill>
    </x:dxf>
    <x:dxf>
      <x:font>
        <x:b/>
        <x:color rgb="FF202B3B"/>
      </x:font>
      <x:fill>
        <x:patternFill patternType="solid">
          <x:bgColor rgb="FFF3C5BA"/>
        </x:patternFill>
      </x:fill>
    </x:dxf>
    <x:dxf>
      <x:font>
        <x:b/>
        <x:color rgb="FF202B3B"/>
      </x:font>
      <x:fill>
        <x:patternFill patternType="solid">
          <x:bgColor rgb="FFE5B6C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9e95249e5c4acb" /><Relationship Type="http://schemas.openxmlformats.org/officeDocument/2006/relationships/theme" Target="/xl/theme/theme1.xml" Id="Racf22014c0624aa0" /><Relationship Type="http://schemas.openxmlformats.org/officeDocument/2006/relationships/sharedStrings" Target="/xl/sharedStrings.xml" Id="Rf4fb9f9e49ac46a3" /><Relationship Type="http://schemas.openxmlformats.org/officeDocument/2006/relationships/worksheet" Target="/xl/worksheets/sheet1.xml" Id="Rffbc64f95d6c4209" /><Relationship Type="http://schemas.openxmlformats.org/officeDocument/2006/relationships/worksheet" Target="/xl/worksheets/sheet2.xml" Id="R2e626518124046cb" /><Relationship Type="http://schemas.openxmlformats.org/officeDocument/2006/relationships/worksheet" Target="/xl/worksheets/sheet3.xml" Id="R542ffa56f64f40c1" /><Relationship Type="http://schemas.openxmlformats.org/officeDocument/2006/relationships/worksheet" Target="/xl/worksheets/sheet4.xml" Id="Rf019169477c14e0e" /><Relationship Type="http://schemas.openxmlformats.org/officeDocument/2006/relationships/worksheet" Target="/xl/worksheets/sheet5.xml" Id="R7f8284d1fa7f4dc6" /></Relationships>
</file>

<file path=xl/tables/table1.xml><?xml version="1.0" encoding="utf-8"?>
<x:table xmlns:x="http://schemas.openxmlformats.org/spreadsheetml/2006/main" id="1" name="OlafUebersicht" displayName="OlafUebersicht" ref="A5:M56" headerRowCount="1" totalsRowCount="0" totalsRowShown="0">
  <x:autoFilter ref="A5:M56"/>
  <x:tableColumns count="13">
    <x:tableColumn id="1" name="Champion"/>
    <x:tableColumn id="2" name="Tier"/>
    <x:tableColumn id="3" name="Keystone"/>
    <x:tableColumn id="4" name="Summoner Spells"/>
    <x:tableColumn id="5" name="Tier-Begründung"/>
    <x:tableColumn id="6" name="Kill Window"/>
    <x:tableColumn id="7" name="Rune: Fight Pattern"/>
    <x:tableColumn id="8" name="Einzeldatei"/>
    <x:tableColumn id="9" name="Patch / geprüft"/>
    <x:tableColumn id="10" name="Lane-Tier"/>
    <x:tableColumn id="11" name="Späte Side"/>
    <x:tableColumn id="12" name="Bisheriges Tier"/>
    <x:tableColumn id="13" name="Revision"/>
  </x:tableColumns>
  <x:tableStyleInfo name="TableStyleLight1" showFirstColumn="0" showLastColumn="0" showRowStripes="1" showColumnStripes="0"/>
</x:table>
</file>

<file path=xl/tables/table2.xml><?xml version="1.0" encoding="utf-8"?>
<x:table xmlns:x="http://schemas.openxmlformats.org/spreadsheetml/2006/main" id="2" name="OlafDetails" displayName="OlafDetails" ref="A5:AB56" headerRowCount="1" totalsRowCount="0" totalsRowShown="0">
  <x:autoFilter ref="A5:AB56"/>
  <x:tableColumns count="28">
    <x:tableColumn id="1" name="1 · Champion"/>
    <x:tableColumn id="2" name="2 · Tier"/>
    <x:tableColumn id="3" name="3 · Tier-Begründung"/>
    <x:tableColumn id="4" name="4 · Keystone"/>
    <x:tableColumn id="5" name="5 · Rune: Fight Pattern"/>
    <x:tableColumn id="6" name="6 · Startitem"/>
    <x:tableColumn id="7" name="7 · Summoner Spells"/>
    <x:tableColumn id="8" name="8 · Frühe Boots"/>
    <x:tableColumn id="9" name="9 · Level 1"/>
    <x:tableColumn id="10" name="10 · Level 2–5"/>
    <x:tableColumn id="11" name="11 · Ab Level 6"/>
    <x:tableColumn id="12" name="12 · Gefährliche Fähigkeiten"/>
    <x:tableColumn id="13" name="13 · Kill Window"/>
    <x:tableColumn id="14" name="14 · Unbedingt vermeiden"/>
    <x:tableColumn id="15" name="15 · Wave-Management"/>
    <x:tableColumn id="16" name="16 · Trading Pattern"/>
    <x:tableColumn id="17" name="17 · Erste 1–2 Items"/>
    <x:tableColumn id="18" name="18 · Situative Items"/>
    <x:tableColumn id="19" name="19 · Side bei 1/2/3 Items"/>
    <x:tableColumn id="20" name="20 · Gameplan"/>
    <x:tableColumn id="21" name="Comp Override"/>
    <x:tableColumn id="22" name="Unsicherheit"/>
    <x:tableColumn id="23" name="Patch"/>
    <x:tableColumn id="24" name="Geprüft am"/>
    <x:tableColumn id="25" name="Lane-Tier"/>
    <x:tableColumn id="26" name="Späte Side"/>
    <x:tableColumn id="27" name="Bisheriges Tier"/>
    <x:tableColumn id="28" name="Revision"/>
  </x:tableColumns>
  <x:tableStyleInfo name="TableStyleLight1" showFirstColumn="0" showLastColumn="0" showRowStripes="1" showColumnStripes="0"/>
</x:table>
</file>

<file path=xl/tables/table3.xml><?xml version="1.0" encoding="utf-8"?>
<x:table xmlns:x="http://schemas.openxmlformats.org/spreadsheetml/2006/main" id="3" name="ToplanePool" displayName="ToplanePool" ref="A5:H56" headerRowCount="1" totalsRowCount="0" totalsRowShown="0">
  <x:autoFilter ref="A5:H56"/>
  <x:tableColumns count="8">
    <x:tableColumn id="1" name="Champion"/>
    <x:tableColumn id="2" name="Einordnung"/>
    <x:tableColumn id="3" name="Top-Pickrate"/>
    <x:tableColumn id="4" name="Champion-Spiele"/>
    <x:tableColumn id="5" name="Datenpatch"/>
    <x:tableColumn id="6" name="Anbieter"/>
    <x:tableColumn id="7" name="Aufnahmegrund"/>
    <x:tableColumn id="8" name="Quelle"/>
  </x:tableColumns>
  <x:tableStyleInfo name="TableStyleLight1" showFirstColumn="0" showLastColumn="0" showRowStripes="1" showColumnStripes="0"/>
</x:table>
</file>

<file path=xl/tables/table4.xml><?xml version="1.0" encoding="utf-8"?>
<x:table xmlns:x="http://schemas.openxmlformats.org/spreadsheetml/2006/main" id="4" name="Ausschluesse" displayName="Ausschluesse" ref="A61:H73" headerRowCount="1" totalsRowCount="0" totalsRowShown="0">
  <x:autoFilter ref="A61:H73"/>
  <x:tableColumns count="8">
    <x:tableColumn id="1" name="Champion"/>
    <x:tableColumn id="2" name="Einordnung"/>
    <x:tableColumn id="3" name="Top-Pickrate"/>
    <x:tableColumn id="4" name="Champion-Spiele"/>
    <x:tableColumn id="5" name="Datenpatch"/>
    <x:tableColumn id="6" name="Anbieter"/>
    <x:tableColumn id="7" name="Aufnahmegrund"/>
    <x:tableColumn id="8" name="Quelle"/>
  </x:tableColumns>
  <x:tableStyleInfo name="TableStyleLight1" showFirstColumn="0" showLastColumn="0" showRowStripes="1" showColumnStripes="0"/>
</x:table>
</file>

<file path=xl/tables/table5.xml><?xml version="1.0" encoding="utf-8"?>
<x:table xmlns:x="http://schemas.openxmlformats.org/spreadsheetml/2006/main" id="5" name="Paarungsdaten" displayName="Paarungsdaten" ref="A5:M56" headerRowCount="1" totalsRowCount="0" totalsRowShown="0">
  <x:autoFilter ref="A5:M56"/>
  <x:tableColumns count="13">
    <x:tableColumn id="1" name="Gegner"/>
    <x:tableColumn id="2" name="U.GG Gegner-WR"/>
    <x:tableColumn id="3" name="U.GG Olaf-WR"/>
    <x:tableColumn id="4" name="U.GG Spiele"/>
    <x:tableColumn id="5" name="Gegner-GD15"/>
    <x:tableColumn id="6" name="Olaf-GD15"/>
    <x:tableColumn id="7" name="LoLA rohe Olaf-WR"/>
    <x:tableColumn id="8" name="LoLA Spiele"/>
    <x:tableColumn id="9" name="LoLA Delta 2 (PP)"/>
    <x:tableColumn id="10" name="Datenpatch"/>
    <x:tableColumn id="11" name="Gesamt-Tier"/>
    <x:tableColumn id="12" name="Quelle U.GG"/>
    <x:tableColumn id="13" name="Quelle LoLA"/>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adb667e4b0944e94" /><ns0:Relationship Id="rIdMatchupLink1" Type="http://schemas.openxmlformats.org/officeDocument/2006/relationships/hyperlink" Target="Matchups/Olaf_vs_aatrox.xlsx" TargetMode="External" /><ns0:Relationship Id="rIdMatchupLink2" Type="http://schemas.openxmlformats.org/officeDocument/2006/relationships/hyperlink" Target="Matchups/Olaf_vs_akali.xlsx" TargetMode="External" /><ns0:Relationship Id="rIdMatchupLink3" Type="http://schemas.openxmlformats.org/officeDocument/2006/relationships/hyperlink" Target="Matchups/Olaf_vs_ambessa.xlsx" TargetMode="External" /><ns0:Relationship Id="rIdMatchupLink4" Type="http://schemas.openxmlformats.org/officeDocument/2006/relationships/hyperlink" Target="Matchups/Olaf_vs_camille.xlsx" TargetMode="External" /><ns0:Relationship Id="rIdMatchupLink5" Type="http://schemas.openxmlformats.org/officeDocument/2006/relationships/hyperlink" Target="Matchups/Olaf_vs_chogath.xlsx" TargetMode="External" /><ns0:Relationship Id="rIdMatchupLink6" Type="http://schemas.openxmlformats.org/officeDocument/2006/relationships/hyperlink" Target="Matchups/Olaf_vs_darius.xlsx" TargetMode="External" /><ns0:Relationship Id="rIdMatchupLink7" Type="http://schemas.openxmlformats.org/officeDocument/2006/relationships/hyperlink" Target="Matchups/Olaf_vs_drmundo.xlsx" TargetMode="External" /><ns0:Relationship Id="rIdMatchupLink8" Type="http://schemas.openxmlformats.org/officeDocument/2006/relationships/hyperlink" Target="Matchups/Olaf_vs_fiora.xlsx" TargetMode="External" /><ns0:Relationship Id="rIdMatchupLink9" Type="http://schemas.openxmlformats.org/officeDocument/2006/relationships/hyperlink" Target="Matchups/Olaf_vs_gangplank.xlsx" TargetMode="External" /><ns0:Relationship Id="rIdMatchupLink10" Type="http://schemas.openxmlformats.org/officeDocument/2006/relationships/hyperlink" Target="Matchups/Olaf_vs_garen.xlsx" TargetMode="External" /><ns0:Relationship Id="rIdMatchupLink11" Type="http://schemas.openxmlformats.org/officeDocument/2006/relationships/hyperlink" Target="Matchups/Olaf_vs_gnar.xlsx" TargetMode="External" /><ns0:Relationship Id="rIdMatchupLink12" Type="http://schemas.openxmlformats.org/officeDocument/2006/relationships/hyperlink" Target="Matchups/Olaf_vs_gragas.xlsx" TargetMode="External" /><ns0:Relationship Id="rIdMatchupLink13" Type="http://schemas.openxmlformats.org/officeDocument/2006/relationships/hyperlink" Target="Matchups/Olaf_vs_gwen.xlsx" TargetMode="External" /><ns0:Relationship Id="rIdMatchupLink14" Type="http://schemas.openxmlformats.org/officeDocument/2006/relationships/hyperlink" Target="Matchups/Olaf_vs_heimerdinger.xlsx" TargetMode="External" /><ns0:Relationship Id="rIdMatchupLink15" Type="http://schemas.openxmlformats.org/officeDocument/2006/relationships/hyperlink" Target="Matchups/Olaf_vs_illaoi.xlsx" TargetMode="External" /><ns0:Relationship Id="rIdMatchupLink16" Type="http://schemas.openxmlformats.org/officeDocument/2006/relationships/hyperlink" Target="Matchups/Olaf_vs_irelia.xlsx" TargetMode="External" /><ns0:Relationship Id="rIdMatchupLink17" Type="http://schemas.openxmlformats.org/officeDocument/2006/relationships/hyperlink" Target="Matchups/Olaf_vs_jax.xlsx" TargetMode="External" /><ns0:Relationship Id="rIdMatchupLink18" Type="http://schemas.openxmlformats.org/officeDocument/2006/relationships/hyperlink" Target="Matchups/Olaf_vs_jayce.xlsx" TargetMode="External" /><ns0:Relationship Id="rIdMatchupLink19" Type="http://schemas.openxmlformats.org/officeDocument/2006/relationships/hyperlink" Target="Matchups/Olaf_vs_ksante.xlsx" TargetMode="External" /><ns0:Relationship Id="rIdMatchupLink20" Type="http://schemas.openxmlformats.org/officeDocument/2006/relationships/hyperlink" Target="Matchups/Olaf_vs_kayle.xlsx" TargetMode="External" /><ns0:Relationship Id="rIdMatchupLink21" Type="http://schemas.openxmlformats.org/officeDocument/2006/relationships/hyperlink" Target="Matchups/Olaf_vs_kennen.xlsx" TargetMode="External" /><ns0:Relationship Id="rIdMatchupLink22" Type="http://schemas.openxmlformats.org/officeDocument/2006/relationships/hyperlink" Target="Matchups/Olaf_vs_kled.xlsx" TargetMode="External" /><ns0:Relationship Id="rIdMatchupLink23" Type="http://schemas.openxmlformats.org/officeDocument/2006/relationships/hyperlink" Target="Matchups/Olaf_vs_malphite.xlsx" TargetMode="External" /><ns0:Relationship Id="rIdMatchupLink24" Type="http://schemas.openxmlformats.org/officeDocument/2006/relationships/hyperlink" Target="Matchups/Olaf_vs_mordekaiser.xlsx" TargetMode="External" /><ns0:Relationship Id="rIdMatchupLink25" Type="http://schemas.openxmlformats.org/officeDocument/2006/relationships/hyperlink" Target="Matchups/Olaf_vs_nasus.xlsx" TargetMode="External" /><ns0:Relationship Id="rIdMatchupLink26" Type="http://schemas.openxmlformats.org/officeDocument/2006/relationships/hyperlink" Target="Matchups/Olaf_vs_ornn.xlsx" TargetMode="External" /><ns0:Relationship Id="rIdMatchupLink27" Type="http://schemas.openxmlformats.org/officeDocument/2006/relationships/hyperlink" Target="Matchups/Olaf_vs_pantheon.xlsx" TargetMode="External" /><ns0:Relationship Id="rIdMatchupLink28" Type="http://schemas.openxmlformats.org/officeDocument/2006/relationships/hyperlink" Target="Matchups/Olaf_vs_poppy.xlsx" TargetMode="External" /><ns0:Relationship Id="rIdMatchupLink29" Type="http://schemas.openxmlformats.org/officeDocument/2006/relationships/hyperlink" Target="Matchups/Olaf_vs_quinn.xlsx" TargetMode="External" /><ns0:Relationship Id="rIdMatchupLink30" Type="http://schemas.openxmlformats.org/officeDocument/2006/relationships/hyperlink" Target="Matchups/Olaf_vs_renekton.xlsx" TargetMode="External" /><ns0:Relationship Id="rIdMatchupLink31" Type="http://schemas.openxmlformats.org/officeDocument/2006/relationships/hyperlink" Target="Matchups/Olaf_vs_riven.xlsx" TargetMode="External" /><ns0:Relationship Id="rIdMatchupLink32" Type="http://schemas.openxmlformats.org/officeDocument/2006/relationships/hyperlink" Target="Matchups/Olaf_vs_rumble.xlsx" TargetMode="External" /><ns0:Relationship Id="rIdMatchupLink33" Type="http://schemas.openxmlformats.org/officeDocument/2006/relationships/hyperlink" Target="Matchups/Olaf_vs_sett.xlsx" TargetMode="External" /><ns0:Relationship Id="rIdMatchupLink34" Type="http://schemas.openxmlformats.org/officeDocument/2006/relationships/hyperlink" Target="Matchups/Olaf_vs_shen.xlsx" TargetMode="External" /><ns0:Relationship Id="rIdMatchupLink35" Type="http://schemas.openxmlformats.org/officeDocument/2006/relationships/hyperlink" Target="Matchups/Olaf_vs_singed.xlsx" TargetMode="External" /><ns0:Relationship Id="rIdMatchupLink36" Type="http://schemas.openxmlformats.org/officeDocument/2006/relationships/hyperlink" Target="Matchups/Olaf_vs_sion.xlsx" TargetMode="External" /><ns0:Relationship Id="rIdMatchupLink37" Type="http://schemas.openxmlformats.org/officeDocument/2006/relationships/hyperlink" Target="Matchups/Olaf_vs_sylas.xlsx" TargetMode="External" /><ns0:Relationship Id="rIdMatchupLink38" Type="http://schemas.openxmlformats.org/officeDocument/2006/relationships/hyperlink" Target="Matchups/Olaf_vs_tahmkench.xlsx" TargetMode="External" /><ns0:Relationship Id="rIdMatchupLink39" Type="http://schemas.openxmlformats.org/officeDocument/2006/relationships/hyperlink" Target="Matchups/Olaf_vs_teemo.xlsx" TargetMode="External" /><ns0:Relationship Id="rIdMatchupLink40" Type="http://schemas.openxmlformats.org/officeDocument/2006/relationships/hyperlink" Target="Matchups/Olaf_vs_trundle.xlsx" TargetMode="External" /><ns0:Relationship Id="rIdMatchupLink41" Type="http://schemas.openxmlformats.org/officeDocument/2006/relationships/hyperlink" Target="Matchups/Olaf_vs_tryndamere.xlsx" TargetMode="External" /><ns0:Relationship Id="rIdMatchupLink42" Type="http://schemas.openxmlformats.org/officeDocument/2006/relationships/hyperlink" Target="Matchups/Olaf_vs_urgot.xlsx" TargetMode="External" /><ns0:Relationship Id="rIdMatchupLink43" Type="http://schemas.openxmlformats.org/officeDocument/2006/relationships/hyperlink" Target="Matchups/Olaf_vs_vayne.xlsx" TargetMode="External" /><ns0:Relationship Id="rIdMatchupLink44" Type="http://schemas.openxmlformats.org/officeDocument/2006/relationships/hyperlink" Target="Matchups/Olaf_vs_vladimir.xlsx" TargetMode="External" /><ns0:Relationship Id="rIdMatchupLink45" Type="http://schemas.openxmlformats.org/officeDocument/2006/relationships/hyperlink" Target="Matchups/Olaf_vs_volibear.xlsx" TargetMode="External" /><ns0:Relationship Id="rIdMatchupLink46" Type="http://schemas.openxmlformats.org/officeDocument/2006/relationships/hyperlink" Target="Matchups/Olaf_vs_warwick.xlsx" TargetMode="External" /><ns0:Relationship Id="rIdMatchupLink47" Type="http://schemas.openxmlformats.org/officeDocument/2006/relationships/hyperlink" Target="Matchups/Olaf_vs_wukong.xlsx" TargetMode="External" /><ns0:Relationship Id="rIdMatchupLink48" Type="http://schemas.openxmlformats.org/officeDocument/2006/relationships/hyperlink" Target="Matchups/Olaf_vs_yasuo.xlsx" TargetMode="External" /><ns0:Relationship Id="rIdMatchupLink49" Type="http://schemas.openxmlformats.org/officeDocument/2006/relationships/hyperlink" Target="Matchups/Olaf_vs_yone.xlsx" TargetMode="External" /><ns0:Relationship Id="rIdMatchupLink50" Type="http://schemas.openxmlformats.org/officeDocument/2006/relationships/hyperlink" Target="Matchups/Olaf_vs_yorick.xlsx" TargetMode="External" /><ns0:Relationship Id="rIdMatchupLink51" Type="http://schemas.openxmlformats.org/officeDocument/2006/relationships/hyperlink" Target="Matchups/Olaf_vs_zaahen.xlsx" TargetMode="External" /></ns0:Relationships>
</file>

<file path=xl/worksheets/_rels/sheet2.xml.rels>&#65279;<?xml version="1.0" encoding="utf-8"?><Relationships xmlns="http://schemas.openxmlformats.org/package/2006/relationships"><Relationship Type="http://schemas.openxmlformats.org/officeDocument/2006/relationships/table" Target="/xl/tables/table2.xml" Id="R44de5579bc61455a" /></Relationships>
</file>

<file path=xl/worksheets/_rels/sheet3.xml.rels><?xml version='1.0' encoding='utf-8'?>
<ns0:Relationships xmlns:ns0="http://schemas.openxmlformats.org/package/2006/relationships"><ns0:Relationship Type="http://schemas.openxmlformats.org/officeDocument/2006/relationships/table" Target="/xl/tables/table3.xml" Id="R4134ac8f791d43fd" /><ns0:Relationship Type="http://schemas.openxmlformats.org/officeDocument/2006/relationships/table" Target="/xl/tables/table4.xml" Id="R4b30c2e53b0d4b12" /><ns0:Relationship Id="rIdMatchupLink1" Type="http://schemas.openxmlformats.org/officeDocument/2006/relationships/hyperlink" Target="https://lolalytics.com/lol/aatrox/build/?lane=top" TargetMode="External" /><ns0:Relationship Id="rIdMatchupLink2" Type="http://schemas.openxmlformats.org/officeDocument/2006/relationships/hyperlink" Target="https://lolalytics.com/lol/akali/build/?lane=top" TargetMode="External" /><ns0:Relationship Id="rIdMatchupLink3" Type="http://schemas.openxmlformats.org/officeDocument/2006/relationships/hyperlink" Target="https://lolalytics.com/lol/ambessa/build/?lane=top" TargetMode="External" /><ns0:Relationship Id="rIdMatchupLink4" Type="http://schemas.openxmlformats.org/officeDocument/2006/relationships/hyperlink" Target="https://lolalytics.com/lol/camille/build/?lane=top" TargetMode="External" /><ns0:Relationship Id="rIdMatchupLink5" Type="http://schemas.openxmlformats.org/officeDocument/2006/relationships/hyperlink" Target="https://lolalytics.com/lol/chogath/build/?lane=top" TargetMode="External" /><ns0:Relationship Id="rIdMatchupLink6" Type="http://schemas.openxmlformats.org/officeDocument/2006/relationships/hyperlink" Target="https://lolalytics.com/lol/darius/build/?lane=top" TargetMode="External" /><ns0:Relationship Id="rIdMatchupLink7" Type="http://schemas.openxmlformats.org/officeDocument/2006/relationships/hyperlink" Target="https://lolalytics.com/lol/drmundo/build/?lane=top" TargetMode="External" /><ns0:Relationship Id="rIdMatchupLink8" Type="http://schemas.openxmlformats.org/officeDocument/2006/relationships/hyperlink" Target="https://lolalytics.com/lol/fiora/build/?lane=top" TargetMode="External" /><ns0:Relationship Id="rIdMatchupLink9" Type="http://schemas.openxmlformats.org/officeDocument/2006/relationships/hyperlink" Target="https://lolalytics.com/lol/gangplank/build/?lane=top" TargetMode="External" /><ns0:Relationship Id="rIdMatchupLink10" Type="http://schemas.openxmlformats.org/officeDocument/2006/relationships/hyperlink" Target="https://lolalytics.com/lol/garen/build/?lane=top" TargetMode="External" /><ns0:Relationship Id="rIdMatchupLink11" Type="http://schemas.openxmlformats.org/officeDocument/2006/relationships/hyperlink" Target="https://lolalytics.com/lol/gnar/build/?lane=top" TargetMode="External" /><ns0:Relationship Id="rIdMatchupLink12" Type="http://schemas.openxmlformats.org/officeDocument/2006/relationships/hyperlink" Target="https://lolalytics.com/lol/gragas/build/?lane=top" TargetMode="External" /><ns0:Relationship Id="rIdMatchupLink13" Type="http://schemas.openxmlformats.org/officeDocument/2006/relationships/hyperlink" Target="https://lolalytics.com/lol/gwen/build/?lane=top" TargetMode="External" /><ns0:Relationship Id="rIdMatchupLink14" Type="http://schemas.openxmlformats.org/officeDocument/2006/relationships/hyperlink" Target="https://lolalytics.com/lol/heimerdinger/build/?lane=top" TargetMode="External" /><ns0:Relationship Id="rIdMatchupLink15" Type="http://schemas.openxmlformats.org/officeDocument/2006/relationships/hyperlink" Target="https://lolalytics.com/lol/illaoi/build/?lane=top" TargetMode="External" /><ns0:Relationship Id="rIdMatchupLink16" Type="http://schemas.openxmlformats.org/officeDocument/2006/relationships/hyperlink" Target="https://lolalytics.com/lol/irelia/build/?lane=top" TargetMode="External" /><ns0:Relationship Id="rIdMatchupLink17" Type="http://schemas.openxmlformats.org/officeDocument/2006/relationships/hyperlink" Target="https://lolalytics.com/lol/jax/build/?lane=top" TargetMode="External" /><ns0:Relationship Id="rIdMatchupLink18" Type="http://schemas.openxmlformats.org/officeDocument/2006/relationships/hyperlink" Target="https://lolalytics.com/lol/jayce/build/?lane=top" TargetMode="External" /><ns0:Relationship Id="rIdMatchupLink19" Type="http://schemas.openxmlformats.org/officeDocument/2006/relationships/hyperlink" Target="https://lolalytics.com/lol/ksante/build/?lane=top" TargetMode="External" /><ns0:Relationship Id="rIdMatchupLink20" Type="http://schemas.openxmlformats.org/officeDocument/2006/relationships/hyperlink" Target="https://lolalytics.com/lol/kayle/build/?lane=top" TargetMode="External" /><ns0:Relationship Id="rIdMatchupLink21" Type="http://schemas.openxmlformats.org/officeDocument/2006/relationships/hyperlink" Target="https://lolalytics.com/lol/kennen/build/?lane=top" TargetMode="External" /><ns0:Relationship Id="rIdMatchupLink22" Type="http://schemas.openxmlformats.org/officeDocument/2006/relationships/hyperlink" Target="https://lolalytics.com/lol/kled/build/" TargetMode="External" /><ns0:Relationship Id="rIdMatchupLink23" Type="http://schemas.openxmlformats.org/officeDocument/2006/relationships/hyperlink" Target="https://lolalytics.com/lol/malphite/build/?lane=top" TargetMode="External" /><ns0:Relationship Id="rIdMatchupLink24" Type="http://schemas.openxmlformats.org/officeDocument/2006/relationships/hyperlink" Target="https://lolalytics.com/lol/mordekaiser/build/?lane=top" TargetMode="External" /><ns0:Relationship Id="rIdMatchupLink25" Type="http://schemas.openxmlformats.org/officeDocument/2006/relationships/hyperlink" Target="https://lolalytics.com/lol/nasus/build/?lane=top" TargetMode="External" /><ns0:Relationship Id="rIdMatchupLink26" Type="http://schemas.openxmlformats.org/officeDocument/2006/relationships/hyperlink" Target="https://lolalytics.com/lol/ornn/build/?lane=top" TargetMode="External" /><ns0:Relationship Id="rIdMatchupLink27" Type="http://schemas.openxmlformats.org/officeDocument/2006/relationships/hyperlink" Target="https://lolalytics.com/lol/pantheon/build/?lane=top" TargetMode="External" /><ns0:Relationship Id="rIdMatchupLink28" Type="http://schemas.openxmlformats.org/officeDocument/2006/relationships/hyperlink" Target="https://lolalytics.com/lol/poppy/build/?lane=top" TargetMode="External" /><ns0:Relationship Id="rIdMatchupLink29" Type="http://schemas.openxmlformats.org/officeDocument/2006/relationships/hyperlink" Target="https://lolalytics.com/lol/quinn/build/?lane=top" TargetMode="External" /><ns0:Relationship Id="rIdMatchupLink30" Type="http://schemas.openxmlformats.org/officeDocument/2006/relationships/hyperlink" Target="https://lolalytics.com/lol/renekton/build/?lane=top" TargetMode="External" /><ns0:Relationship Id="rIdMatchupLink31" Type="http://schemas.openxmlformats.org/officeDocument/2006/relationships/hyperlink" Target="https://lolalytics.com/lol/riven/build/?lane=top" TargetMode="External" /><ns0:Relationship Id="rIdMatchupLink32" Type="http://schemas.openxmlformats.org/officeDocument/2006/relationships/hyperlink" Target="https://lolalytics.com/lol/rumble/build/?lane=top" TargetMode="External" /><ns0:Relationship Id="rIdMatchupLink33" Type="http://schemas.openxmlformats.org/officeDocument/2006/relationships/hyperlink" Target="https://lolalytics.com/lol/sett/build/?lane=top" TargetMode="External" /><ns0:Relationship Id="rIdMatchupLink34" Type="http://schemas.openxmlformats.org/officeDocument/2006/relationships/hyperlink" Target="https://lolalytics.com/lol/shen/build/?lane=top" TargetMode="External" /><ns0:Relationship Id="rIdMatchupLink35" Type="http://schemas.openxmlformats.org/officeDocument/2006/relationships/hyperlink" Target="https://lolalytics.com/lol/singed/build/?lane=top" TargetMode="External" /><ns0:Relationship Id="rIdMatchupLink36" Type="http://schemas.openxmlformats.org/officeDocument/2006/relationships/hyperlink" Target="https://lolalytics.com/lol/sion/build/" TargetMode="External" /><ns0:Relationship Id="rIdMatchupLink37" Type="http://schemas.openxmlformats.org/officeDocument/2006/relationships/hyperlink" Target="https://lolalytics.com/lol/sylas/build/?lane=top" TargetMode="External" /><ns0:Relationship Id="rIdMatchupLink38" Type="http://schemas.openxmlformats.org/officeDocument/2006/relationships/hyperlink" Target="https://lolalytics.com/lol/tahmkench/build/?lane=top" TargetMode="External" /><ns0:Relationship Id="rIdMatchupLink39" Type="http://schemas.openxmlformats.org/officeDocument/2006/relationships/hyperlink" Target="https://lolalytics.com/lol/teemo/build/?lane=top" TargetMode="External" /><ns0:Relationship Id="rIdMatchupLink40" Type="http://schemas.openxmlformats.org/officeDocument/2006/relationships/hyperlink" Target="https://lolalytics.com/lol/trundle/build/?lane=top" TargetMode="External" /><ns0:Relationship Id="rIdMatchupLink41" Type="http://schemas.openxmlformats.org/officeDocument/2006/relationships/hyperlink" Target="https://lolalytics.com/lol/tryndamere/build/" TargetMode="External" /><ns0:Relationship Id="rIdMatchupLink42" Type="http://schemas.openxmlformats.org/officeDocument/2006/relationships/hyperlink" Target="https://lolalytics.com/lol/urgot/build/?lane=top" TargetMode="External" /><ns0:Relationship Id="rIdMatchupLink43" Type="http://schemas.openxmlformats.org/officeDocument/2006/relationships/hyperlink" Target="https://lolalytics.com/lol/vayne/build/?lane=top" TargetMode="External" /><ns0:Relationship Id="rIdMatchupLink44" Type="http://schemas.openxmlformats.org/officeDocument/2006/relationships/hyperlink" Target="https://lolalytics.com/lol/vladimir/build/?lane=top" TargetMode="External" /><ns0:Relationship Id="rIdMatchupLink45" Type="http://schemas.openxmlformats.org/officeDocument/2006/relationships/hyperlink" Target="https://lolalytics.com/lol/volibear/build/?lane=top" TargetMode="External" /><ns0:Relationship Id="rIdMatchupLink46" Type="http://schemas.openxmlformats.org/officeDocument/2006/relationships/hyperlink" Target="https://lolalytics.com/lol/warwick/build/?lane=top" TargetMode="External" /><ns0:Relationship Id="rIdMatchupLink47" Type="http://schemas.openxmlformats.org/officeDocument/2006/relationships/hyperlink" Target="https://lolalytics.com/lol/wukong/build/?lane=top" TargetMode="External" /><ns0:Relationship Id="rIdMatchupLink48" Type="http://schemas.openxmlformats.org/officeDocument/2006/relationships/hyperlink" Target="https://lolalytics.com/lol/yasuo/build/?lane=top" TargetMode="External" /><ns0:Relationship Id="rIdMatchupLink49" Type="http://schemas.openxmlformats.org/officeDocument/2006/relationships/hyperlink" Target="https://lolalytics.com/lol/yone/build/?lane=top" TargetMode="External" /><ns0:Relationship Id="rIdMatchupLink50" Type="http://schemas.openxmlformats.org/officeDocument/2006/relationships/hyperlink" Target="https://lolalytics.com/lol/yorick/build/?lane=top" TargetMode="External" /><ns0:Relationship Id="rIdMatchupLink51" Type="http://schemas.openxmlformats.org/officeDocument/2006/relationships/hyperlink" Target="https://lolalytics.com/lol/zaahen/build/" TargetMode="External" /><ns0:Relationship Id="rIdMatchupLink52" Type="http://schemas.openxmlformats.org/officeDocument/2006/relationships/hyperlink" Target="https://lolalytics.com/lol/aurora/build/?lane=top" TargetMode="External" /><ns0:Relationship Id="rIdMatchupLink53" Type="http://schemas.openxmlformats.org/officeDocument/2006/relationships/hyperlink" Target="https://lolalytics.com/lol/akshan/build/?lane=top" TargetMode="External" /><ns0:Relationship Id="rIdMatchupLink54" Type="http://schemas.openxmlformats.org/officeDocument/2006/relationships/hyperlink" Target="https://lolalytics.com/lol/ryze/build/?lane=top" TargetMode="External" /><ns0:Relationship Id="rIdMatchupLink55" Type="http://schemas.openxmlformats.org/officeDocument/2006/relationships/hyperlink" Target="https://lolalytics.com/lol/varus/build/?lane=top" TargetMode="External" /><ns0:Relationship Id="rIdMatchupLink56" Type="http://schemas.openxmlformats.org/officeDocument/2006/relationships/hyperlink" Target="https://lolalytics.com/lol/maokai/build/?lane=top" TargetMode="External" /><ns0:Relationship Id="rIdMatchupLink57" Type="http://schemas.openxmlformats.org/officeDocument/2006/relationships/hyperlink" Target="https://lolalytics.com/lol/rengar/build/?lane=top" TargetMode="External" /><ns0:Relationship Id="rIdMatchupLink58" Type="http://schemas.openxmlformats.org/officeDocument/2006/relationships/hyperlink" Target="https://lolalytics.com/lol/viktor/build/?lane=top" TargetMode="External" /><ns0:Relationship Id="rIdMatchupLink59" Type="http://schemas.openxmlformats.org/officeDocument/2006/relationships/hyperlink" Target="https://lolalytics.com/lol/lissandra/build/?lane=top" TargetMode="External" /><ns0:Relationship Id="rIdMatchupLink60" Type="http://schemas.openxmlformats.org/officeDocument/2006/relationships/hyperlink" Target="https://lolalytics.com/lol/ahri/build/?lane=top" TargetMode="External" /><ns0:Relationship Id="rIdMatchupLink61" Type="http://schemas.openxmlformats.org/officeDocument/2006/relationships/hyperlink" Target="https://lolalytics.com/lol/qiyana/build/?lane=top" TargetMode="External" /><ns0:Relationship Id="rIdMatchupLink62" Type="http://schemas.openxmlformats.org/officeDocument/2006/relationships/hyperlink" Target="https://lolalytics.com/lol/zilean/build/?lane=top" TargetMode="External" /><ns0:Relationship Id="rIdMatchupLink63" Type="http://schemas.openxmlformats.org/officeDocument/2006/relationships/hyperlink" Target="https://lolalytics.com/lol/zed/build/?lane=top"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5.xml" Id="Rb3bb2aedbd2849fa" /><ns0:Relationship Id="rIdMatchupLink1" Type="http://schemas.openxmlformats.org/officeDocument/2006/relationships/hyperlink" Target="https://u.gg/lol/champions/olaf/counter" TargetMode="External" /><ns0:Relationship Id="rIdMatchupLink2" Type="http://schemas.openxmlformats.org/officeDocument/2006/relationships/hyperlink" Target="https://lolalytics.com/lol/olaf/counters/" TargetMode="External" /><ns0:Relationship Id="rIdMatchupLink3" Type="http://schemas.openxmlformats.org/officeDocument/2006/relationships/hyperlink" Target="https://u.gg/lol/champions/olaf/counter" TargetMode="External" /><ns0:Relationship Id="rIdMatchupLink4" Type="http://schemas.openxmlformats.org/officeDocument/2006/relationships/hyperlink" Target="https://lolalytics.com/lol/olaf/counters/" TargetMode="External" /><ns0:Relationship Id="rIdMatchupLink5" Type="http://schemas.openxmlformats.org/officeDocument/2006/relationships/hyperlink" Target="https://u.gg/lol/champions/olaf/counter" TargetMode="External" /><ns0:Relationship Id="rIdMatchupLink6" Type="http://schemas.openxmlformats.org/officeDocument/2006/relationships/hyperlink" Target="https://lolalytics.com/lol/olaf/counters/" TargetMode="External" /><ns0:Relationship Id="rIdMatchupLink7" Type="http://schemas.openxmlformats.org/officeDocument/2006/relationships/hyperlink" Target="https://u.gg/lol/champions/olaf/counter" TargetMode="External" /><ns0:Relationship Id="rIdMatchupLink8" Type="http://schemas.openxmlformats.org/officeDocument/2006/relationships/hyperlink" Target="https://lolalytics.com/lol/olaf/counters/" TargetMode="External" /><ns0:Relationship Id="rIdMatchupLink9" Type="http://schemas.openxmlformats.org/officeDocument/2006/relationships/hyperlink" Target="https://u.gg/lol/champions/olaf/counter" TargetMode="External" /><ns0:Relationship Id="rIdMatchupLink10" Type="http://schemas.openxmlformats.org/officeDocument/2006/relationships/hyperlink" Target="https://lolalytics.com/lol/olaf/counters/" TargetMode="External" /><ns0:Relationship Id="rIdMatchupLink11" Type="http://schemas.openxmlformats.org/officeDocument/2006/relationships/hyperlink" Target="https://u.gg/lol/champions/olaf/counter" TargetMode="External" /><ns0:Relationship Id="rIdMatchupLink12" Type="http://schemas.openxmlformats.org/officeDocument/2006/relationships/hyperlink" Target="https://lolalytics.com/lol/olaf/counters/" TargetMode="External" /><ns0:Relationship Id="rIdMatchupLink13" Type="http://schemas.openxmlformats.org/officeDocument/2006/relationships/hyperlink" Target="https://u.gg/lol/champions/olaf/counter" TargetMode="External" /><ns0:Relationship Id="rIdMatchupLink14" Type="http://schemas.openxmlformats.org/officeDocument/2006/relationships/hyperlink" Target="https://lolalytics.com/lol/olaf/counters/" TargetMode="External" /><ns0:Relationship Id="rIdMatchupLink15" Type="http://schemas.openxmlformats.org/officeDocument/2006/relationships/hyperlink" Target="https://u.gg/lol/champions/olaf/counter" TargetMode="External" /><ns0:Relationship Id="rIdMatchupLink16" Type="http://schemas.openxmlformats.org/officeDocument/2006/relationships/hyperlink" Target="https://lolalytics.com/lol/olaf/counters/" TargetMode="External" /><ns0:Relationship Id="rIdMatchupLink17" Type="http://schemas.openxmlformats.org/officeDocument/2006/relationships/hyperlink" Target="https://u.gg/lol/champions/olaf/counter" TargetMode="External" /><ns0:Relationship Id="rIdMatchupLink18" Type="http://schemas.openxmlformats.org/officeDocument/2006/relationships/hyperlink" Target="https://lolalytics.com/lol/olaf/counters/" TargetMode="External" /><ns0:Relationship Id="rIdMatchupLink19" Type="http://schemas.openxmlformats.org/officeDocument/2006/relationships/hyperlink" Target="https://u.gg/lol/champions/olaf/counter" TargetMode="External" /><ns0:Relationship Id="rIdMatchupLink20" Type="http://schemas.openxmlformats.org/officeDocument/2006/relationships/hyperlink" Target="https://lolalytics.com/lol/olaf/counters/" TargetMode="External" /><ns0:Relationship Id="rIdMatchupLink21" Type="http://schemas.openxmlformats.org/officeDocument/2006/relationships/hyperlink" Target="https://u.gg/lol/champions/olaf/counter" TargetMode="External" /><ns0:Relationship Id="rIdMatchupLink22" Type="http://schemas.openxmlformats.org/officeDocument/2006/relationships/hyperlink" Target="https://lolalytics.com/lol/olaf/counters/" TargetMode="External" /><ns0:Relationship Id="rIdMatchupLink23" Type="http://schemas.openxmlformats.org/officeDocument/2006/relationships/hyperlink" Target="https://u.gg/lol/champions/olaf/counter" TargetMode="External" /><ns0:Relationship Id="rIdMatchupLink24" Type="http://schemas.openxmlformats.org/officeDocument/2006/relationships/hyperlink" Target="https://lolalytics.com/lol/olaf/counters/" TargetMode="External" /><ns0:Relationship Id="rIdMatchupLink25" Type="http://schemas.openxmlformats.org/officeDocument/2006/relationships/hyperlink" Target="https://u.gg/lol/champions/olaf/counter" TargetMode="External" /><ns0:Relationship Id="rIdMatchupLink26" Type="http://schemas.openxmlformats.org/officeDocument/2006/relationships/hyperlink" Target="https://lolalytics.com/lol/olaf/counters/" TargetMode="External" /><ns0:Relationship Id="rIdMatchupLink27" Type="http://schemas.openxmlformats.org/officeDocument/2006/relationships/hyperlink" Target="https://u.gg/lol/champions/olaf/counter" TargetMode="External" /><ns0:Relationship Id="rIdMatchupLink28" Type="http://schemas.openxmlformats.org/officeDocument/2006/relationships/hyperlink" Target="https://lolalytics.com/lol/olaf/counters/" TargetMode="External" /><ns0:Relationship Id="rIdMatchupLink29" Type="http://schemas.openxmlformats.org/officeDocument/2006/relationships/hyperlink" Target="https://u.gg/lol/champions/olaf/counter" TargetMode="External" /><ns0:Relationship Id="rIdMatchupLink30" Type="http://schemas.openxmlformats.org/officeDocument/2006/relationships/hyperlink" Target="https://lolalytics.com/lol/olaf/counters/" TargetMode="External" /><ns0:Relationship Id="rIdMatchupLink31" Type="http://schemas.openxmlformats.org/officeDocument/2006/relationships/hyperlink" Target="https://u.gg/lol/champions/olaf/counter" TargetMode="External" /><ns0:Relationship Id="rIdMatchupLink32" Type="http://schemas.openxmlformats.org/officeDocument/2006/relationships/hyperlink" Target="https://lolalytics.com/lol/olaf/counters/" TargetMode="External" /><ns0:Relationship Id="rIdMatchupLink33" Type="http://schemas.openxmlformats.org/officeDocument/2006/relationships/hyperlink" Target="https://u.gg/lol/champions/olaf/counter" TargetMode="External" /><ns0:Relationship Id="rIdMatchupLink34" Type="http://schemas.openxmlformats.org/officeDocument/2006/relationships/hyperlink" Target="https://lolalytics.com/lol/olaf/counters/" TargetMode="External" /><ns0:Relationship Id="rIdMatchupLink35" Type="http://schemas.openxmlformats.org/officeDocument/2006/relationships/hyperlink" Target="https://u.gg/lol/champions/olaf/counter" TargetMode="External" /><ns0:Relationship Id="rIdMatchupLink36" Type="http://schemas.openxmlformats.org/officeDocument/2006/relationships/hyperlink" Target="https://lolalytics.com/lol/olaf/counters/" TargetMode="External" /><ns0:Relationship Id="rIdMatchupLink37" Type="http://schemas.openxmlformats.org/officeDocument/2006/relationships/hyperlink" Target="https://u.gg/lol/champions/olaf/counter" TargetMode="External" /><ns0:Relationship Id="rIdMatchupLink38" Type="http://schemas.openxmlformats.org/officeDocument/2006/relationships/hyperlink" Target="https://lolalytics.com/lol/olaf/counters/" TargetMode="External" /><ns0:Relationship Id="rIdMatchupLink39" Type="http://schemas.openxmlformats.org/officeDocument/2006/relationships/hyperlink" Target="https://u.gg/lol/champions/olaf/counter" TargetMode="External" /><ns0:Relationship Id="rIdMatchupLink40" Type="http://schemas.openxmlformats.org/officeDocument/2006/relationships/hyperlink" Target="https://lolalytics.com/lol/olaf/counters/" TargetMode="External" /><ns0:Relationship Id="rIdMatchupLink41" Type="http://schemas.openxmlformats.org/officeDocument/2006/relationships/hyperlink" Target="https://u.gg/lol/champions/olaf/counter" TargetMode="External" /><ns0:Relationship Id="rIdMatchupLink42" Type="http://schemas.openxmlformats.org/officeDocument/2006/relationships/hyperlink" Target="https://lolalytics.com/lol/olaf/counters/" TargetMode="External" /><ns0:Relationship Id="rIdMatchupLink43" Type="http://schemas.openxmlformats.org/officeDocument/2006/relationships/hyperlink" Target="https://u.gg/lol/champions/olaf/counter" TargetMode="External" /><ns0:Relationship Id="rIdMatchupLink44" Type="http://schemas.openxmlformats.org/officeDocument/2006/relationships/hyperlink" Target="https://lolalytics.com/lol/olaf/counters/" TargetMode="External" /><ns0:Relationship Id="rIdMatchupLink45" Type="http://schemas.openxmlformats.org/officeDocument/2006/relationships/hyperlink" Target="https://u.gg/lol/champions/olaf/counter" TargetMode="External" /><ns0:Relationship Id="rIdMatchupLink46" Type="http://schemas.openxmlformats.org/officeDocument/2006/relationships/hyperlink" Target="https://lolalytics.com/lol/olaf/counters/" TargetMode="External" /><ns0:Relationship Id="rIdMatchupLink47" Type="http://schemas.openxmlformats.org/officeDocument/2006/relationships/hyperlink" Target="https://u.gg/lol/champions/olaf/counter" TargetMode="External" /><ns0:Relationship Id="rIdMatchupLink48" Type="http://schemas.openxmlformats.org/officeDocument/2006/relationships/hyperlink" Target="https://lolalytics.com/lol/olaf/counters/" TargetMode="External" /><ns0:Relationship Id="rIdMatchupLink49" Type="http://schemas.openxmlformats.org/officeDocument/2006/relationships/hyperlink" Target="https://u.gg/lol/champions/olaf/counter" TargetMode="External" /><ns0:Relationship Id="rIdMatchupLink50" Type="http://schemas.openxmlformats.org/officeDocument/2006/relationships/hyperlink" Target="https://lolalytics.com/lol/olaf/counters/" TargetMode="External" /><ns0:Relationship Id="rIdMatchupLink51" Type="http://schemas.openxmlformats.org/officeDocument/2006/relationships/hyperlink" Target="https://u.gg/lol/champions/olaf/counter" TargetMode="External" /><ns0:Relationship Id="rIdMatchupLink52" Type="http://schemas.openxmlformats.org/officeDocument/2006/relationships/hyperlink" Target="https://lolalytics.com/lol/olaf/counters/" TargetMode="External" /><ns0:Relationship Id="rIdMatchupLink53" Type="http://schemas.openxmlformats.org/officeDocument/2006/relationships/hyperlink" Target="https://u.gg/lol/champions/olaf/counter" TargetMode="External" /><ns0:Relationship Id="rIdMatchupLink54" Type="http://schemas.openxmlformats.org/officeDocument/2006/relationships/hyperlink" Target="https://lolalytics.com/lol/olaf/counters/" TargetMode="External" /><ns0:Relationship Id="rIdMatchupLink55" Type="http://schemas.openxmlformats.org/officeDocument/2006/relationships/hyperlink" Target="https://u.gg/lol/champions/olaf/counter" TargetMode="External" /><ns0:Relationship Id="rIdMatchupLink56" Type="http://schemas.openxmlformats.org/officeDocument/2006/relationships/hyperlink" Target="https://lolalytics.com/lol/olaf/counters/" TargetMode="External" /><ns0:Relationship Id="rIdMatchupLink57" Type="http://schemas.openxmlformats.org/officeDocument/2006/relationships/hyperlink" Target="https://u.gg/lol/champions/olaf/counter" TargetMode="External" /><ns0:Relationship Id="rIdMatchupLink58" Type="http://schemas.openxmlformats.org/officeDocument/2006/relationships/hyperlink" Target="https://lolalytics.com/lol/olaf/counters/" TargetMode="External" /><ns0:Relationship Id="rIdMatchupLink59" Type="http://schemas.openxmlformats.org/officeDocument/2006/relationships/hyperlink" Target="https://u.gg/lol/champions/olaf/counter" TargetMode="External" /><ns0:Relationship Id="rIdMatchupLink60" Type="http://schemas.openxmlformats.org/officeDocument/2006/relationships/hyperlink" Target="https://lolalytics.com/lol/olaf/counters/" TargetMode="External" /><ns0:Relationship Id="rIdMatchupLink61" Type="http://schemas.openxmlformats.org/officeDocument/2006/relationships/hyperlink" Target="https://u.gg/lol/champions/olaf/counter" TargetMode="External" /><ns0:Relationship Id="rIdMatchupLink62" Type="http://schemas.openxmlformats.org/officeDocument/2006/relationships/hyperlink" Target="https://lolalytics.com/lol/olaf/counters/" TargetMode="External" /><ns0:Relationship Id="rIdMatchupLink63" Type="http://schemas.openxmlformats.org/officeDocument/2006/relationships/hyperlink" Target="https://u.gg/lol/champions/olaf/counter" TargetMode="External" /><ns0:Relationship Id="rIdMatchupLink64" Type="http://schemas.openxmlformats.org/officeDocument/2006/relationships/hyperlink" Target="https://lolalytics.com/lol/olaf/counters/" TargetMode="External" /><ns0:Relationship Id="rIdMatchupLink65" Type="http://schemas.openxmlformats.org/officeDocument/2006/relationships/hyperlink" Target="https://u.gg/lol/champions/olaf/counter" TargetMode="External" /><ns0:Relationship Id="rIdMatchupLink66" Type="http://schemas.openxmlformats.org/officeDocument/2006/relationships/hyperlink" Target="https://lolalytics.com/lol/olaf/counters/" TargetMode="External" /><ns0:Relationship Id="rIdMatchupLink67" Type="http://schemas.openxmlformats.org/officeDocument/2006/relationships/hyperlink" Target="https://u.gg/lol/champions/olaf/counter" TargetMode="External" /><ns0:Relationship Id="rIdMatchupLink68" Type="http://schemas.openxmlformats.org/officeDocument/2006/relationships/hyperlink" Target="https://lolalytics.com/lol/olaf/counters/" TargetMode="External" /><ns0:Relationship Id="rIdMatchupLink69" Type="http://schemas.openxmlformats.org/officeDocument/2006/relationships/hyperlink" Target="https://u.gg/lol/champions/olaf/counter" TargetMode="External" /><ns0:Relationship Id="rIdMatchupLink70" Type="http://schemas.openxmlformats.org/officeDocument/2006/relationships/hyperlink" Target="https://lolalytics.com/lol/olaf/counters/" TargetMode="External" /><ns0:Relationship Id="rIdMatchupLink71" Type="http://schemas.openxmlformats.org/officeDocument/2006/relationships/hyperlink" Target="https://u.gg/lol/champions/olaf/counter" TargetMode="External" /><ns0:Relationship Id="rIdMatchupLink72" Type="http://schemas.openxmlformats.org/officeDocument/2006/relationships/hyperlink" Target="https://lolalytics.com/lol/olaf/counters/" TargetMode="External" /><ns0:Relationship Id="rIdMatchupLink73" Type="http://schemas.openxmlformats.org/officeDocument/2006/relationships/hyperlink" Target="https://u.gg/lol/champions/olaf/counter" TargetMode="External" /><ns0:Relationship Id="rIdMatchupLink74" Type="http://schemas.openxmlformats.org/officeDocument/2006/relationships/hyperlink" Target="https://lolalytics.com/lol/olaf/counters/" TargetMode="External" /><ns0:Relationship Id="rIdMatchupLink75" Type="http://schemas.openxmlformats.org/officeDocument/2006/relationships/hyperlink" Target="https://u.gg/lol/champions/olaf/counter" TargetMode="External" /><ns0:Relationship Id="rIdMatchupLink76" Type="http://schemas.openxmlformats.org/officeDocument/2006/relationships/hyperlink" Target="https://lolalytics.com/lol/olaf/counters/" TargetMode="External" /><ns0:Relationship Id="rIdMatchupLink77" Type="http://schemas.openxmlformats.org/officeDocument/2006/relationships/hyperlink" Target="https://u.gg/lol/champions/olaf/counter" TargetMode="External" /><ns0:Relationship Id="rIdMatchupLink78" Type="http://schemas.openxmlformats.org/officeDocument/2006/relationships/hyperlink" Target="https://lolalytics.com/lol/olaf/counters/" TargetMode="External" /><ns0:Relationship Id="rIdMatchupLink79" Type="http://schemas.openxmlformats.org/officeDocument/2006/relationships/hyperlink" Target="https://u.gg/lol/champions/olaf/counter" TargetMode="External" /><ns0:Relationship Id="rIdMatchupLink80" Type="http://schemas.openxmlformats.org/officeDocument/2006/relationships/hyperlink" Target="https://lolalytics.com/lol/olaf/counters/" TargetMode="External" /><ns0:Relationship Id="rIdMatchupLink81" Type="http://schemas.openxmlformats.org/officeDocument/2006/relationships/hyperlink" Target="https://u.gg/lol/champions/olaf/counter" TargetMode="External" /><ns0:Relationship Id="rIdMatchupLink82" Type="http://schemas.openxmlformats.org/officeDocument/2006/relationships/hyperlink" Target="https://lolalytics.com/lol/olaf/counters/" TargetMode="External" /><ns0:Relationship Id="rIdMatchupLink83" Type="http://schemas.openxmlformats.org/officeDocument/2006/relationships/hyperlink" Target="https://u.gg/lol/champions/olaf/counter" TargetMode="External" /><ns0:Relationship Id="rIdMatchupLink84" Type="http://schemas.openxmlformats.org/officeDocument/2006/relationships/hyperlink" Target="https://lolalytics.com/lol/olaf/counters/" TargetMode="External" /><ns0:Relationship Id="rIdMatchupLink85" Type="http://schemas.openxmlformats.org/officeDocument/2006/relationships/hyperlink" Target="https://u.gg/lol/champions/olaf/counter" TargetMode="External" /><ns0:Relationship Id="rIdMatchupLink86" Type="http://schemas.openxmlformats.org/officeDocument/2006/relationships/hyperlink" Target="https://lolalytics.com/lol/olaf/counters/" TargetMode="External" /><ns0:Relationship Id="rIdMatchupLink87" Type="http://schemas.openxmlformats.org/officeDocument/2006/relationships/hyperlink" Target="https://u.gg/lol/champions/olaf/counter" TargetMode="External" /><ns0:Relationship Id="rIdMatchupLink88" Type="http://schemas.openxmlformats.org/officeDocument/2006/relationships/hyperlink" Target="https://lolalytics.com/lol/olaf/counters/" TargetMode="External" /><ns0:Relationship Id="rIdMatchupLink89" Type="http://schemas.openxmlformats.org/officeDocument/2006/relationships/hyperlink" Target="https://u.gg/lol/champions/olaf/counter" TargetMode="External" /><ns0:Relationship Id="rIdMatchupLink90" Type="http://schemas.openxmlformats.org/officeDocument/2006/relationships/hyperlink" Target="https://lolalytics.com/lol/olaf/counters/" TargetMode="External" /><ns0:Relationship Id="rIdMatchupLink91" Type="http://schemas.openxmlformats.org/officeDocument/2006/relationships/hyperlink" Target="https://u.gg/lol/champions/olaf/counter" TargetMode="External" /><ns0:Relationship Id="rIdMatchupLink92" Type="http://schemas.openxmlformats.org/officeDocument/2006/relationships/hyperlink" Target="https://lolalytics.com/lol/olaf/counters/" TargetMode="External" /><ns0:Relationship Id="rIdMatchupLink93" Type="http://schemas.openxmlformats.org/officeDocument/2006/relationships/hyperlink" Target="https://u.gg/lol/champions/olaf/counter" TargetMode="External" /><ns0:Relationship Id="rIdMatchupLink94" Type="http://schemas.openxmlformats.org/officeDocument/2006/relationships/hyperlink" Target="https://lolalytics.com/lol/olaf/counters/" TargetMode="External" /><ns0:Relationship Id="rIdMatchupLink95" Type="http://schemas.openxmlformats.org/officeDocument/2006/relationships/hyperlink" Target="https://u.gg/lol/champions/olaf/counter" TargetMode="External" /><ns0:Relationship Id="rIdMatchupLink96" Type="http://schemas.openxmlformats.org/officeDocument/2006/relationships/hyperlink" Target="https://lolalytics.com/lol/olaf/counters/" TargetMode="External" /><ns0:Relationship Id="rIdMatchupLink97" Type="http://schemas.openxmlformats.org/officeDocument/2006/relationships/hyperlink" Target="https://u.gg/lol/champions/olaf/counter" TargetMode="External" /><ns0:Relationship Id="rIdMatchupLink98" Type="http://schemas.openxmlformats.org/officeDocument/2006/relationships/hyperlink" Target="https://lolalytics.com/lol/olaf/counters/" TargetMode="External" /><ns0:Relationship Id="rIdMatchupLink99" Type="http://schemas.openxmlformats.org/officeDocument/2006/relationships/hyperlink" Target="https://u.gg/lol/champions/olaf/counter" TargetMode="External" /><ns0:Relationship Id="rIdMatchupLink100" Type="http://schemas.openxmlformats.org/officeDocument/2006/relationships/hyperlink" Target="https://lolalytics.com/lol/olaf/counters/" TargetMode="External" /><ns0:Relationship Id="rIdMatchupLink101" Type="http://schemas.openxmlformats.org/officeDocument/2006/relationships/hyperlink" Target="https://u.gg/lol/champions/olaf/counter" TargetMode="External" /><ns0:Relationship Id="rIdMatchupLink102" Type="http://schemas.openxmlformats.org/officeDocument/2006/relationships/hyperlink" Target="https://lolalytics.com/lol/olaf/counters/" TargetMode="External" /></ns0:Relationships>
</file>

<file path=xl/worksheets/_rels/sheet5.xml.rels><?xml version='1.0' encoding='utf-8'?>
<ns0:Relationships xmlns:ns0="http://schemas.openxmlformats.org/package/2006/relationships"><ns0:Relationship Id="rIdMatchupLink1" Type="http://schemas.openxmlformats.org/officeDocument/2006/relationships/hyperlink" Target="https://www.leagueoflegends.com/en-us/news/game-updates/league-of-legends-patch-26-18-notes/" TargetMode="External" /><ns0:Relationship Id="rIdMatchupLink2" Type="http://schemas.openxmlformats.org/officeDocument/2006/relationships/hyperlink" Target="https://u.gg/lol/champions/olaf/counter" TargetMode="External" /><ns0:Relationship Id="rIdMatchupLink3" Type="http://schemas.openxmlformats.org/officeDocument/2006/relationships/hyperlink" Target="https://lolalytics.com/lol/olaf/counters/" TargetMode="External" /><ns0:Relationship Id="rIdMatchupLink4" Type="http://schemas.openxmlformats.org/officeDocument/2006/relationships/hyperlink" Target="https://u.gg/lol/champions/olaf/build" TargetMode="External" /><ns0:Relationship Id="rIdMatchupLink5" Type="http://schemas.openxmlformats.org/officeDocument/2006/relationships/hyperlink" Target="https://www.leagueoflegends.com/en-us/news/game-updates/patch-12-9-notes/" TargetMode="External" /><ns0:Relationship Id="rIdMatchupLink6" Type="http://schemas.openxmlformats.org/officeDocument/2006/relationships/hyperlink" Target="https://www.leagueoflegends.com/en-us/news/game-updates/patch-12-11-notes/" TargetMode="External" /><ns0:Relationship Id="rIdMatchupLink7" Type="http://schemas.openxmlformats.org/officeDocument/2006/relationships/hyperlink" Target="https://www.leagueoflegends.com/en-us/news/game-updates/patch-26-1-notes/" TargetMode="External" /><ns0:Relationship Id="rIdMatchupLink8" Type="http://schemas.openxmlformats.org/officeDocument/2006/relationships/hyperlink" Target="https://www.leagueoflegends.com/en-gb/news/game-updates/patch-26-2-notes/" TargetMode="External" /><ns0:Relationship Id="rIdMatchupLink9" Type="http://schemas.openxmlformats.org/officeDocument/2006/relationships/hyperlink" Target="https://www.leagueoflegends.com/en-us/news/game-updates/league-of-legends-patch-26-12-notes/" TargetMode="External" /><ns0:Relationship Id="rIdMatchupLink10" Type="http://schemas.openxmlformats.org/officeDocument/2006/relationships/hyperlink" Target="https://www.leagueoflegends.com/en-au/news/game-updates/patch-14-10-notes/" TargetMode="External" /></ns0:Relationships>
</file>

<file path=xl/worksheets/sheet1.xml><?xml version="1.0" encoding="utf-8"?>
<worksheet xmlns="http://schemas.openxmlformats.org/spreadsheetml/2006/main" xmlns:r="http://schemas.openxmlformats.org/officeDocument/2006/relationships">
  <sheetPr>
    <tabColor rgb="FF243B61"/>
  </sheetPr>
  <sheetViews>
    <sheetView showGridLines="0" workbookViewId="0">
      <pane xSplit="1" ySplit="5" topLeftCell="B6" activePane="bottomRight" state="frozen"/>
    </sheetView>
  </sheetViews>
  <sheetFormatPr defaultRowHeight="15"/>
  <cols>
    <col min="1" max="1" width="19" hidden="0" customWidth="1"/>
    <col min="2" max="2" width="8" hidden="0" customWidth="1"/>
    <col min="3" max="3" width="16" hidden="0" customWidth="1"/>
    <col min="4" max="4" width="23" hidden="0" customWidth="1"/>
    <col min="5" max="5" width="65" hidden="0" customWidth="1"/>
    <col min="6" max="6" width="60" hidden="0" customWidth="1"/>
    <col min="7" max="7" width="70" hidden="0" customWidth="1"/>
    <col min="8" max="8" width="36" hidden="0" customWidth="1"/>
    <col min="9" max="9" width="22" hidden="0" customWidth="1"/>
    <col min="10" max="10" width="13" hidden="0" customWidth="1"/>
    <col min="11" max="11" width="13" hidden="0" customWidth="1"/>
    <col min="12" max="12" width="15" hidden="0" customWidth="1"/>
    <col min="13" max="13" width="90" hidden="0" customWidth="1"/>
  </cols>
  <sheetData>
    <row r="1">
      <c r="A1" s="3"/>
      <c r="B1" s="3"/>
      <c r="C1" s="3"/>
      <c r="D1" s="3"/>
      <c r="E1" s="3"/>
      <c r="F1" s="3"/>
      <c r="G1" s="3"/>
      <c r="H1" s="3"/>
      <c r="I1" s="3"/>
      <c r="J1" s="3"/>
      <c r="K1" s="3"/>
      <c r="L1" s="3"/>
      <c r="M1" s="3"/>
    </row>
    <row r="2" ht="28" customHeight="1">
      <c r="A2" s="5" t="str">
        <v>Olaf Top · Matchup-Sammlung</v>
      </c>
      <c r="B2" s="3"/>
      <c r="C2" s="3"/>
      <c r="D2" s="3"/>
      <c r="E2" s="3"/>
      <c r="F2" s="3"/>
      <c r="G2" s="3"/>
      <c r="H2" s="3"/>
      <c r="I2" s="3"/>
      <c r="J2" s="3"/>
      <c r="K2" s="3"/>
      <c r="L2" s="3"/>
      <c r="M2" s="3"/>
    </row>
    <row r="3" ht="30" customHeight="1">
      <c r="A3" s="3" t="str">
        <v>Patch 26.18</v>
      </c>
      <c r="B3" s="3" t="str"/>
      <c r="C3" s="3" t="str">
        <v>51 Gegner</v>
      </c>
      <c r="D3" s="3" t="str">
        <v>Emerald+ / global</v>
      </c>
      <c r="E3" s="3" t="str">
        <v>Geprüft 10.09.2026</v>
      </c>
      <c r="F3" s="3" t="str">
        <v>Filter in Zeile 5</v>
      </c>
      <c r="G3" s="3" t="str">
        <v>Einzeldateien: START.html</v>
      </c>
      <c r="H3" s="3" t="str"/>
      <c r="I3" s="3" t="str"/>
      <c r="J3" s="3"/>
      <c r="K3" s="3"/>
      <c r="L3" s="3"/>
      <c r="M3" s="3"/>
    </row>
    <row r="4">
      <c r="A4" s="3"/>
      <c r="B4" s="3"/>
      <c r="C4" s="3"/>
      <c r="D4" s="3"/>
      <c r="E4" s="3"/>
      <c r="F4" s="3"/>
      <c r="G4" s="3"/>
      <c r="H4" s="3"/>
      <c r="I4" s="3"/>
      <c r="J4" s="3"/>
      <c r="K4" s="3"/>
      <c r="L4" s="3"/>
      <c r="M4" s="3"/>
    </row>
    <row r="5" ht="34" customHeight="1">
      <c r="A5" s="9" t="str">
        <v>Champion</v>
      </c>
      <c r="B5" s="9" t="str">
        <v>Tier</v>
      </c>
      <c r="C5" s="9" t="str">
        <v>Keystone</v>
      </c>
      <c r="D5" s="9" t="str">
        <v>Summoner Spells</v>
      </c>
      <c r="E5" s="9" t="str">
        <v>Tier-Begründung</v>
      </c>
      <c r="F5" s="9" t="str">
        <v>Kill Window</v>
      </c>
      <c r="G5" s="9" t="str">
        <v>Rune: Fight Pattern</v>
      </c>
      <c r="H5" s="9" t="str">
        <v>Einzeldatei</v>
      </c>
      <c r="I5" s="9" t="str">
        <v>Patch / geprüft</v>
      </c>
      <c r="J5" s="9" t="str">
        <v>Lane-Tier</v>
      </c>
      <c r="K5" s="9" t="str">
        <v>Späte Side</v>
      </c>
      <c r="L5" s="9" t="str">
        <v>Bisheriges Tier</v>
      </c>
      <c r="M5" s="9" t="str">
        <v>Revision</v>
      </c>
    </row>
    <row r="6" ht="80" customHeight="1">
      <c r="A6" s="3" t="str">
        <v>Aatrox</v>
      </c>
      <c r="B6" s="10" t="str">
        <v>C</v>
      </c>
      <c r="C6" s="3" t="str">
        <v>Conqueror</v>
      </c>
      <c r="D6" s="3" t="str">
        <v>Flash + Ghost</v>
      </c>
      <c r="E6" s="3" t="str">
        <v>Q-Abstand und E-Repositionierung gegen Olafs R-All-in ergeben ein beidseitig spielbares Matchup. Nach verfehlten Sweetspots hat Olaf echte Killfenster; gegen sauberes Spacing ist ein genereller Vorteil nicht ausreichend begründet.</v>
      </c>
      <c r="F6" s="3" t="str">
        <v>Q-Kette beendet und E verbraucht. Nach seinem R-Ende erneut Druck. W verfehlt erleichtert den langen Chase vor 6.</v>
      </c>
      <c r="G6" s="3" t="str">
        <v>Mehrere Q-Rotationen und Aatrox-R-Heilung verlängern den Kampf. Conqueror belohnt Olafs fortgesetzte Autos und E-Zyklen stärker als einen erzwungenen Dreiertrade.</v>
      </c>
      <c r="H6" s="15" t="str">
        <v>Matchups/Olaf_vs_aatrox.xlsx</v>
      </c>
      <c r="I6" s="3" t="str">
        <v>26.18 · 10.09.2026</v>
      </c>
      <c r="J6" s="3" t="str">
        <v>C</v>
      </c>
      <c r="K6" s="3" t="str">
        <v>C</v>
      </c>
      <c r="L6" s="3" t="str">
        <v>B</v>
      </c>
      <c r="M6" s="3" t="str">
        <v>Tier B → C. Lane C, späte Side C: Q-Abstand und E-Repositionierung gegen Olafs R-All-in ergeben ein beidseitig spielbares Matchup. Nach verfehlten Sweetspots hat Olaf echte Killfenster; gegen sauberes Spacing ist ein genereller Vorteil nicht ausreichend begründet.</v>
      </c>
    </row>
    <row r="7" ht="80" customHeight="1">
      <c r="A7" s="3" t="str">
        <v>Akali</v>
      </c>
      <c r="B7" s="11" t="str">
        <v>D</v>
      </c>
      <c r="C7" s="3" t="str">
        <v>Conqueror</v>
      </c>
      <c r="D7" s="3" t="str">
        <v>Flash + Teleport</v>
      </c>
      <c r="E7" s="3" t="str">
        <v>Shroud erschwert Kills und R-Verlängerung, macht Olaf aber nicht automatisch zum Verlierer der Lane. Waveclear und Sustain erlauben Druck ohne Solokill. Leichter Nachteil durch ihre Kontrolle über Kontakt und Carry-Zugriff.</v>
      </c>
      <c r="F7" s="3" t="str">
        <v>W beendet plus E verbraucht/verfehlt. R auf Cooldown senkt Flucht- und Burstpotenzial. Ein einzelnes verfehltes Q reicht meist nicht.</v>
      </c>
      <c r="G7" s="3" t="str">
        <v>Q und E können Conqueror vorbereiten, während PTA vor drei Autos durch Shroud unterbrochen wird. Auch Conqueror ist während vollständigem Disengage wertlos. Kein Zwangs-All-in für die Rune.</v>
      </c>
      <c r="H7" s="15" t="str">
        <v>Matchups/Olaf_vs_akali.xlsx</v>
      </c>
      <c r="I7" s="3" t="str">
        <v>26.18 · 10.09.2026</v>
      </c>
      <c r="J7" s="3" t="str">
        <v>C</v>
      </c>
      <c r="K7" s="3" t="str">
        <v>D</v>
      </c>
      <c r="L7" s="3" t="str">
        <v>E</v>
      </c>
      <c r="M7" s="3" t="str">
        <v>Tier E → D. Lane C, späte Side D: Shroud erschwert Kills und R-Verlängerung, macht Olaf aber nicht automatisch zum Verlierer der Lane. Waveclear und Sustain erlauben Druck ohne Solokill. Leichter Nachteil durch ihre Kontrolle über Kontakt und Carry-Zugriff.</v>
      </c>
    </row>
    <row r="8" ht="80" customHeight="1">
      <c r="A8" s="3" t="str">
        <v>Ambessa</v>
      </c>
      <c r="B8" s="10" t="str">
        <v>C</v>
      </c>
      <c r="C8" s="3" t="str">
        <v>Conqueror</v>
      </c>
      <c r="D8" s="3" t="str">
        <v>Flash + Ghost</v>
      </c>
      <c r="E8" s="3" t="str">
        <v>Olaf kann frühe Energie-Autos bestrafen und ihren CC mit R übergehen. Ihre Dashes und spätere Heilung erschweren das Verfolgen, rechtfertigen aber keinen pauschalen Nachteil schon ab Lane-Beginn.</v>
      </c>
      <c r="F8" s="3" t="str">
        <v>W verbraucht, niedrige Energie und kein guter Auto-Zugang. Nach verfehlter R kann sie keinen erneuten Fernengage erzwingen.</v>
      </c>
      <c r="G8" s="3" t="str">
        <v>W-Schild und mehrere Re-engages verhindern ein verlässlich kurzes Killfenster. Conqueror passt zum Kampf über mehrere Energie- und Spell-Zyklen.</v>
      </c>
      <c r="H8" s="15" t="str">
        <v>Matchups/Olaf_vs_ambessa.xlsx</v>
      </c>
      <c r="I8" s="3" t="str">
        <v>26.18 · 10.09.2026</v>
      </c>
      <c r="J8" s="3" t="str">
        <v>B</v>
      </c>
      <c r="K8" s="3" t="str">
        <v>D</v>
      </c>
      <c r="L8" s="3" t="str">
        <v>D</v>
      </c>
      <c r="M8" s="3" t="str">
        <v>Tier D → C. Lane B, späte Side D: Olaf kann frühe Energie-Autos bestrafen und ihren CC mit R übergehen. Ihre Dashes und spätere Heilung erschweren das Verfolgen, rechtfertigen aber keinen pauschalen Nachteil schon ab Lane-Beginn.</v>
      </c>
    </row>
    <row r="9" ht="80" customHeight="1">
      <c r="A9" s="3" t="str">
        <v>Camille</v>
      </c>
      <c r="B9" s="11" t="str">
        <v>D</v>
      </c>
      <c r="C9" s="3" t="str">
        <v>Conqueror</v>
      </c>
      <c r="D9" s="3" t="str">
        <v>Flash + Ghost</v>
      </c>
      <c r="E9" s="3" t="str">
        <v>Früh kann Olaf nach Schild und Hookshot lange Trades erzwingen. Später bestimmen Q2, kurze Trades und Terrain-Flucht viele Duelle. Der Gesamt-Nachteil ist real, aber die frühe Druckphase wurde zuvor zu wenig gewichtet.</v>
      </c>
      <c r="F9" s="3" t="str">
        <v>E und Passive gleichzeitig nicht verfügbar. Nach Q2 in Minions fehlt kurzfristig ihr stärkster Trade. Verbleibende R trotzdem einkalkulieren.</v>
      </c>
      <c r="G9" s="3" t="str">
        <v>Ihr Schild nimmt dem kurzen Auto-Fenster Wert. Conqueror passt zum nötigen zweiten Anlauf nach Schild/E. PTA nur bei tatsächlich festgehaltener Camille.</v>
      </c>
      <c r="H9" s="15" t="str">
        <v>Matchups/Olaf_vs_camille.xlsx</v>
      </c>
      <c r="I9" s="3" t="str">
        <v>26.18 · 10.09.2026</v>
      </c>
      <c r="J9" s="3" t="str">
        <v>B</v>
      </c>
      <c r="K9" s="3" t="str">
        <v>E</v>
      </c>
      <c r="L9" s="3" t="str">
        <v>E</v>
      </c>
      <c r="M9" s="3" t="str">
        <v>Tier E → D. Lane B, späte Side E: Früh kann Olaf nach Schild und Hookshot lange Trades erzwingen. Später bestimmen Q2, kurze Trades und Terrain-Flucht viele Duelle. Der Gesamt-Nachteil ist real, aber die frühe Druckphase wurde zuvor zu wenig gewichtet.</v>
      </c>
    </row>
    <row r="10" ht="80" customHeight="1">
      <c r="A10" s="3" t="str">
        <v>Cho’Gath</v>
      </c>
      <c r="B10" s="12" t="str">
        <v>B</v>
      </c>
      <c r="C10" s="3" t="str">
        <v>Conqueror</v>
      </c>
      <c r="D10" s="3" t="str">
        <v>Flash + Ghost</v>
      </c>
      <c r="E10" s="3" t="str">
        <v>Olaf kann den immobilen Cho nach verfehltem Q lange treffen. Feast zwingt zu früherem W und begrenzt Low-HP-Spiel. Gute Drucklane, aber AP-Burst und späterer Objective-Wert verhindern eine extreme Bewertung.</v>
      </c>
      <c r="F10" s="3" t="str">
        <v>Q verfehlt und W bereits verbraucht. R auf Minion/Objective benutzt schafft ein sichereres Low-HP-Fenster.</v>
      </c>
      <c r="G10" s="3" t="str">
        <v>Hohe effektive HP verlangen mehrere Q/E-Zyklen. Gegen AP-Cho kann PTA nach verfehltem Q sinnvoll sein, sofern er tatsächlich in drei Autos erreichbar bleibt.</v>
      </c>
      <c r="H10" s="15" t="str">
        <v>Matchups/Olaf_vs_chogath.xlsx</v>
      </c>
      <c r="I10" s="3" t="str">
        <v>26.18 · 10.09.2026</v>
      </c>
      <c r="J10" s="3" t="str">
        <v>B</v>
      </c>
      <c r="K10" s="3" t="str">
        <v>B</v>
      </c>
      <c r="L10" s="3" t="str">
        <v>B</v>
      </c>
      <c r="M10" s="3" t="str">
        <v>Tier beibehalten. Lane B, späte Side B: Olaf kann den immobilen Cho nach verfehltem Q lange treffen. Feast zwingt zu früherem W und begrenzt Low-HP-Spiel. Gute Drucklane, aber AP-Burst und späterer Objective-Wert verhindern eine extreme Bewertung.</v>
      </c>
    </row>
    <row r="11" ht="80" customHeight="1">
      <c r="A11" s="3" t="str">
        <v>Darius</v>
      </c>
      <c r="B11" s="10" t="str">
        <v>C</v>
      </c>
      <c r="C11" s="3" t="str">
        <v>Conqueror</v>
      </c>
      <c r="D11" s="3" t="str">
        <v>Flash + Ghost</v>
      </c>
      <c r="E11" s="3" t="str">
        <v>Q-Außenring, Bleed-Stacks, Ghost und Axe-Pickups entscheiden. Olaf hat genug Dauerschaden für gewinnbare All-ins; wer zuerst den gegnerischen Hauptschaden ohne Antwort nimmt, verliert häufig.</v>
      </c>
      <c r="F11" s="3" t="str">
        <v>Q ohne Champion-Randtreffer plus E verbraucht. Ghost fehlt: lange eigene Lane besser nutzbar. Ein Q-Miss allein bei fünf Bleed-Stacks genügt nicht.</v>
      </c>
      <c r="G11" s="3" t="str">
        <v>Einzelne Dreiertrades geben Darius Blutungsstacks, ohne den Fight zu lösen. Conqueror unterstützt das Duell, das nach beiden Cooldown-Rotationen weitergeht.</v>
      </c>
      <c r="H11" s="15" t="str">
        <v>Matchups/Olaf_vs_darius.xlsx</v>
      </c>
      <c r="I11" s="3" t="str">
        <v>26.18 · 10.09.2026</v>
      </c>
      <c r="J11" s="3" t="str">
        <v>C</v>
      </c>
      <c r="K11" s="3" t="str">
        <v>C</v>
      </c>
      <c r="L11" s="3" t="str">
        <v>C</v>
      </c>
      <c r="M11" s="3" t="str">
        <v>Tier beibehalten. Lane C, späte Side C: Q-Außenring, Bleed-Stacks, Ghost und Axe-Pickups entscheiden. Olaf hat genug Dauerschaden für gewinnbare All-ins; wer zuerst den gegnerischen Hauptschaden ohne Antwort nimmt, verliert häufig.</v>
      </c>
    </row>
    <row r="12" ht="80" customHeight="1">
      <c r="A12" s="3" t="str">
        <v>Dr. Mundo</v>
      </c>
      <c r="B12" s="13" t="str">
        <v>A</v>
      </c>
      <c r="C12" s="3" t="str">
        <v>Conqueror</v>
      </c>
      <c r="D12" s="3" t="str">
        <v>Ghost + Ignite</v>
      </c>
      <c r="E12" s="3" t="str">
        <v>Mundos fehlender Dash und schwache frühe Kontrolle lassen Olaf Farmzugang bedrohen. Die Passive blockiert Olafs Slow nicht. R, HP und Armor verlangen später passende Schadens- und Heilungsantworten.</v>
      </c>
      <c r="F12" s="3" t="str">
        <v>R vorbei/auf Cooldown. Q verfehlt erleichtert Kontakt. Ohne Ignite/Antiheal ist eine frische R kein automatisches Killfenster.</v>
      </c>
      <c r="G12" s="3" t="str">
        <v>Mundos R und HP-Build verlangen anhaltenden Schaden. Conqueror ist für das zweite E und wiederholte Autos sinnvoller als bloßer Anfangsburst.</v>
      </c>
      <c r="H12" s="15" t="str">
        <v>Matchups/Olaf_vs_drmundo.xlsx</v>
      </c>
      <c r="I12" s="3" t="str">
        <v>26.18 · 10.09.2026</v>
      </c>
      <c r="J12" s="3" t="str">
        <v>A</v>
      </c>
      <c r="K12" s="3" t="str">
        <v>C</v>
      </c>
      <c r="L12" s="3" t="str">
        <v>A</v>
      </c>
      <c r="M12" s="3" t="str">
        <v>Tier beibehalten. Lane A, späte Side C: Mundos fehlender Dash und schwache frühe Kontrolle lassen Olaf Farmzugang bedrohen. Die Passive blockiert Olafs Slow nicht. R, HP und Armor verlangen später passende Schadens- und Heilungsantworten.</v>
      </c>
    </row>
    <row r="13" ht="80" customHeight="1">
      <c r="A13" s="3" t="str">
        <v>Fiora</v>
      </c>
      <c r="B13" s="11" t="str">
        <v>D</v>
      </c>
      <c r="C13" s="3" t="str">
        <v>Conqueror</v>
      </c>
      <c r="D13" s="3" t="str">
        <v>Flash + Ghost</v>
      </c>
      <c r="E13" s="3" t="str">
        <v>Frühe Duelle sind über Riposte und Vital-Positionierung spielbar. Spätere wiederholte Vitals und Q-Rückzüge verschieben das 1v1 zu Fiora. Das ist ein leichter Gesamt-Nachteil mit deutlicherem späten Side-Risiko.</v>
      </c>
      <c r="F13" s="3" t="str">
        <v>W verfehlt/abgelaufen plus Q-Rückzug schlecht positioniert. Nach verbrauchter R ist das nächste Duell deutlich übersichtlicher.</v>
      </c>
      <c r="G13" s="3" t="str">
        <v>Riposte kann Autos und E entwerten und PTA verzögern. Conqueror passt zum Duell nach W, das mehr als drei Autos braucht. Die Rune ersetzt das Ausweichen ihrer Riposte nicht.</v>
      </c>
      <c r="H13" s="15" t="str">
        <v>Matchups/Olaf_vs_fiora.xlsx</v>
      </c>
      <c r="I13" s="3" t="str">
        <v>26.18 · 10.09.2026</v>
      </c>
      <c r="J13" s="3" t="str">
        <v>C</v>
      </c>
      <c r="K13" s="3" t="str">
        <v>E</v>
      </c>
      <c r="L13" s="3" t="str">
        <v>E</v>
      </c>
      <c r="M13" s="3" t="str">
        <v>Tier E → D. Lane C, späte Side E: Frühe Duelle sind über Riposte und Vital-Positionierung spielbar. Spätere wiederholte Vitals und Q-Rückzüge verschieben das 1v1 zu Fiora. Das ist ein leichter Gesamt-Nachteil mit deutlicherem späten Side-Risiko.</v>
      </c>
    </row>
    <row r="14" ht="80" customHeight="1">
      <c r="A14" s="3" t="str">
        <v>Gangplank</v>
      </c>
      <c r="B14" s="12" t="str">
        <v>B</v>
      </c>
      <c r="C14" s="3" t="str">
        <v>PTA</v>
      </c>
      <c r="D14" s="3" t="str">
        <v>Flash + Ghost</v>
      </c>
      <c r="E14" s="3" t="str">
        <v>Fässer bestimmen frühe Trades. Ab 6 kann Olaf Slows übergehen und ohne vorbereitetes Fassnetz Kontakt erzwingen. Gangplanks sichere Fernwirkung bleibt ein eigener Gesamtspiel-Faktor.</v>
      </c>
      <c r="F14" s="3" t="str">
        <v>Fass zerstört und keine gute Reserveposition. W verwendet: nächste Q bleibt besser haften. Nicht in ein bereits vorbereitetes zweites Fass laufen.</v>
      </c>
      <c r="G14" s="3" t="str">
        <v>Nach zerstörtem Fass bekommt Olaf oft drei Autos, bevor ein neues Netz steht. Dieses begrenzte Killfenster passt zu PTA. Langes Kämpfen durch mehrere passive Resets vermeiden.</v>
      </c>
      <c r="H14" s="15" t="str">
        <v>Matchups/Olaf_vs_gangplank.xlsx</v>
      </c>
      <c r="I14" s="3" t="str">
        <v>26.18 · 10.09.2026</v>
      </c>
      <c r="J14" s="3" t="str">
        <v>C</v>
      </c>
      <c r="K14" s="3" t="str">
        <v>C</v>
      </c>
      <c r="L14" s="3" t="str">
        <v>B</v>
      </c>
      <c r="M14" s="3" t="str">
        <v>Tier beibehalten. Lane C, späte Side C: Fässer bestimmen frühe Trades. Ab 6 kann Olaf Slows übergehen und ohne vorbereitetes Fassnetz Kontakt erzwingen. Gangplanks sichere Fernwirkung bleibt ein eigener Gesamtspiel-Faktor.</v>
      </c>
    </row>
    <row r="15" ht="80" customHeight="1">
      <c r="A15" s="3" t="str">
        <v>Garen</v>
      </c>
      <c r="B15" s="10" t="str">
        <v>C</v>
      </c>
      <c r="C15" s="3" t="str">
        <v>Conqueror</v>
      </c>
      <c r="D15" s="3" t="str">
        <v>Flash + Ghost</v>
      </c>
      <c r="E15" s="3" t="str">
        <v>Olaf kann früh lange Trades gewinnen und mit Sustain Garens Resetspiel beantworten. Garens W, Q-Disengage und R bestrafen Fehler, nehmen Olaf aber keinen grundsätzlich spielbaren Duellplan.</v>
      </c>
      <c r="F15" s="3" t="str">
        <v>W abgelaufen und Q/Bewegungsrune verbraucht. Nach R-Verbrauch darf Olaf niedrige HP offensiver nutzen, sofern der restliche Schaden kalkuliert ist.</v>
      </c>
      <c r="G15" s="3" t="str">
        <v>W reduziert den frontloaded Burst, E hält den Kampf aktiv. Conqueror für langen Kontakt nach seinem ersten Trade. PTA nur, wenn du ihn wirklich vor dem Rückzug töten kannst.</v>
      </c>
      <c r="H15" s="15" t="str">
        <v>Matchups/Olaf_vs_garen.xlsx</v>
      </c>
      <c r="I15" s="3" t="str">
        <v>26.18 · 10.09.2026</v>
      </c>
      <c r="J15" s="3" t="str">
        <v>B</v>
      </c>
      <c r="K15" s="3" t="str">
        <v>C</v>
      </c>
      <c r="L15" s="3" t="str">
        <v>D</v>
      </c>
      <c r="M15" s="3" t="str">
        <v>Tier D → C. Lane B, späte Side C: Olaf kann früh lange Trades gewinnen und mit Sustain Garens Resetspiel beantworten. Garens W, Q-Disengage und R bestrafen Fehler, nehmen Olaf aber keinen grundsätzlich spielbaren Duellplan.</v>
      </c>
    </row>
    <row r="16" ht="80" customHeight="1">
      <c r="A16" s="3" t="str">
        <v>Gnar</v>
      </c>
      <c r="B16" s="13" t="str">
        <v>A</v>
      </c>
      <c r="C16" s="3" t="str">
        <v>PTA</v>
      </c>
      <c r="D16" s="3" t="str">
        <v>Flash + Ghost</v>
      </c>
      <c r="E16" s="3" t="str">
        <v>Olafs R nimmt viel vom Mega-Gnar-CC. Nach verbrauchtem Sprung ist Mini-Gnar auf langer Lane gut angreifbar. Vor Kontakt abgegebene HP und ein vorbereiteter Doppelsprung bleiben entscheidend.</v>
      </c>
      <c r="F16" s="3" t="str">
        <v>Hop verbraucht und Rage niedrig oder gerade zurücktransformiert. Verfehltes Q ohne sicheren Fang verschlechtert seinen Rückzug.</v>
      </c>
      <c r="G16" s="3" t="str">
        <v>Nach Hop entsteht ein begrenztes Fenster mit zuverlässigen Autos auf Mini-Gnar. PTA nutzt es. Gegen ausschließlich lange Mega-Duelle ist Conqueror erwägenswert.</v>
      </c>
      <c r="H16" s="15" t="str">
        <v>Matchups/Olaf_vs_gnar.xlsx</v>
      </c>
      <c r="I16" s="3" t="str">
        <v>26.18 · 10.09.2026</v>
      </c>
      <c r="J16" s="3" t="str">
        <v>B</v>
      </c>
      <c r="K16" s="3" t="str">
        <v>B</v>
      </c>
      <c r="L16" s="3" t="str">
        <v>A</v>
      </c>
      <c r="M16" s="3" t="str">
        <v>Tier beibehalten. Lane B, späte Side B: Olafs R nimmt viel vom Mega-Gnar-CC. Nach verbrauchtem Sprung ist Mini-Gnar auf langer Lane gut angreifbar. Vor Kontakt abgegebene HP und ein vorbereiteter Doppelsprung bleiben entscheidend.</v>
      </c>
    </row>
    <row r="17" ht="80" customHeight="1">
      <c r="A17" s="3" t="str">
        <v>Gragas</v>
      </c>
      <c r="B17" s="12" t="str">
        <v>B</v>
      </c>
      <c r="C17" s="3" t="str">
        <v>Conqueror</v>
      </c>
      <c r="D17" s="3" t="str">
        <v>Flash + Ghost</v>
      </c>
      <c r="E17" s="3" t="str">
        <v>Vor 6 begrenzen Body Slam und Sustain Olafs Zugang. Mit R wird Gragas als Disengage-Gegner leichter zu verfolgen. Der Vorteil besteht im langen Kontakt, nicht im wiederholten kurzen W-Trade.</v>
      </c>
      <c r="F17" s="3" t="str">
        <v>E verfehlt plus W beendet. Nach defensiver R ein weiteres Fenster bei eigenem R-/Ghost-Vorteil.</v>
      </c>
      <c r="G17" s="3" t="str">
        <v>Seine Defensive und Heilung verlangen mehrere Kontakte. PTA wird vor 6 oft durch E unterbrochen. Conqueror für den langen Fight nach E/W.</v>
      </c>
      <c r="H17" s="15" t="str">
        <v>Matchups/Olaf_vs_gragas.xlsx</v>
      </c>
      <c r="I17" s="3" t="str">
        <v>26.18 · 10.09.2026</v>
      </c>
      <c r="J17" s="3" t="str">
        <v>C</v>
      </c>
      <c r="K17" s="3" t="str">
        <v>B</v>
      </c>
      <c r="L17" s="3" t="str">
        <v>B</v>
      </c>
      <c r="M17" s="3" t="str">
        <v>Tier beibehalten. Lane C, späte Side B: Vor 6 begrenzen Body Slam und Sustain Olafs Zugang. Mit R wird Gragas als Disengage-Gegner leichter zu verfolgen. Der Vorteil besteht im langen Kontakt, nicht im wiederholten kurzen W-Trade.</v>
      </c>
    </row>
    <row r="18" ht="80" customHeight="1">
      <c r="A18" s="3" t="str">
        <v>Gwen</v>
      </c>
      <c r="B18" s="11" t="str">
        <v>D</v>
      </c>
      <c r="C18" s="3" t="str">
        <v>Conqueror</v>
      </c>
      <c r="D18" s="3" t="str">
        <v>Ghost + Ignite</v>
      </c>
      <c r="E18" s="3" t="str">
        <v>Olaf besitzt frühe Druckfenster. Gwens späterer Q-/R-Dauerschaden und Heilung verschieben gleichwertige lange Duelle zu ihr. Deshalb Early nutzen, ohne einen gewonnenen ersten Trade mit dauerhaftem Outscaling gleichzusetzen.</v>
      </c>
      <c r="F18" s="3" t="str">
        <v>Q ungestackt/verbraucht, W vorbei. R vollständig verbraucht bietet besseren Re-engage als nur der erste Wurf.</v>
      </c>
      <c r="G18" s="3" t="str">
        <v>Gwen bleibt lange in Nahkampfreichweite, wenn sie kämpfen will. Conqueror passt zu mehreren Q/E-Zyklen und ihrer Heilung. PTA beendet einen gleichwertigen Fight meist nicht früh genug.</v>
      </c>
      <c r="H18" s="15" t="str">
        <v>Matchups/Olaf_vs_gwen.xlsx</v>
      </c>
      <c r="I18" s="3" t="str">
        <v>26.18 · 10.09.2026</v>
      </c>
      <c r="J18" s="3" t="str">
        <v>B</v>
      </c>
      <c r="K18" s="3" t="str">
        <v>E</v>
      </c>
      <c r="L18" s="3" t="str">
        <v>D</v>
      </c>
      <c r="M18" s="3" t="str">
        <v>Tier beibehalten. Lane B, späte Side E: Olaf besitzt frühe Druckfenster. Gwens späterer Q-/R-Dauerschaden und Heilung verschieben gleichwertige lange Duelle zu ihr. Deshalb Early nutzen, ohne einen gewonnenen ersten Trade mit dauerhaftem Outscaling gleichzusetzen.</v>
      </c>
    </row>
    <row r="19" ht="80" customHeight="1">
      <c r="A19" s="3" t="str">
        <v>Heimerdinger</v>
      </c>
      <c r="B19" s="12" t="str">
        <v>B</v>
      </c>
      <c r="C19" s="3" t="str">
        <v>PTA</v>
      </c>
      <c r="D19" s="3" t="str">
        <v>Flash + Ghost</v>
      </c>
      <c r="E19" s="3" t="str">
        <v>Das frühe Turret-Nest kann Olaf Farm und HP kosten. Nach Abbau des Nests und mit R ist Heimer ohne Dash gut fangbar. Lane-Nachteil und spätere Catch-Stärke müssen getrennt bleiben.</v>
      </c>
      <c r="F19" s="3" t="str">
        <v>E verfehlt, Türme/Charges reduziert. R gerade defensiv verbraucht und Lane weit weg vom Turm.</v>
      </c>
      <c r="G19" s="3" t="str">
        <v>Nach Turret-Abbau und verfehltem E zählt ein schneller Kill auf Heimer. PTA passt zu drei erreichbaren Autos. Ein langer Fight im Nest ist kein sinnvolles Conqueror-Ziel.</v>
      </c>
      <c r="H19" s="15" t="str">
        <v>Matchups/Olaf_vs_heimerdinger.xlsx</v>
      </c>
      <c r="I19" s="3" t="str">
        <v>26.18 · 10.09.2026</v>
      </c>
      <c r="J19" s="3" t="str">
        <v>D</v>
      </c>
      <c r="K19" s="3" t="str">
        <v>C</v>
      </c>
      <c r="L19" s="3" t="str">
        <v>B</v>
      </c>
      <c r="M19" s="3" t="str">
        <v>Tier beibehalten. Lane D, späte Side C: Das frühe Turret-Nest kann Olaf Farm und HP kosten. Nach Abbau des Nests und mit R ist Heimer ohne Dash gut fangbar. Lane-Nachteil und spätere Catch-Stärke müssen getrennt bleiben.</v>
      </c>
    </row>
    <row r="20" ht="80" customHeight="1">
      <c r="A20" s="3" t="str">
        <v>Illaoi</v>
      </c>
      <c r="B20" s="11" t="str">
        <v>D</v>
      </c>
      <c r="C20" s="3" t="str">
        <v>Conqueror</v>
      </c>
      <c r="D20" s="3" t="str">
        <v>Flash + Ghost</v>
      </c>
      <c r="E20" s="3" t="str">
        <v>E und R erzwingen mehr Positionsarbeit als in vielen Melee-Lanes. Nach E-Miss oder verbrauchter R kann Olaf jedoch aktiv Druck machen. Ein Kampf im vollen Nest ist schlecht, nicht jede Spielsituation gegen Illaoi.</v>
      </c>
      <c r="F20" s="3" t="str">
        <v>E verfehlt und wenige Tentakel. R vollständig vorbei. Nach E-Hit existiert meist kein gutes Killfenster ohne großen Vorsprung.</v>
      </c>
      <c r="G20" s="3" t="str">
        <v>Der erlaubte Fight nach E/R-Abklingen dauert meist mehrere Rotationen. Conqueror unterstützt ihn. PTA rechtfertigt keinen kurzen Burst in Geist plus R.</v>
      </c>
      <c r="H20" s="15" t="str">
        <v>Matchups/Olaf_vs_illaoi.xlsx</v>
      </c>
      <c r="I20" s="3" t="str">
        <v>26.18 · 10.09.2026</v>
      </c>
      <c r="J20" s="3" t="str">
        <v>D</v>
      </c>
      <c r="K20" s="3" t="str">
        <v>D</v>
      </c>
      <c r="L20" s="3" t="str">
        <v>E</v>
      </c>
      <c r="M20" s="3" t="str">
        <v>Tier E → D. Lane D, späte Side D: E und R erzwingen mehr Positionsarbeit als in vielen Melee-Lanes. Nach E-Miss oder verbrauchter R kann Olaf jedoch aktiv Druck machen. Ein Kampf im vollen Nest ist schlecht, nicht jede Spielsituation gegen Illaoi.</v>
      </c>
    </row>
    <row r="21" ht="80" customHeight="1">
      <c r="A21" s="3" t="str">
        <v>Irelia</v>
      </c>
      <c r="B21" s="10" t="str">
        <v>C</v>
      </c>
      <c r="C21" s="3" t="str">
        <v>Conqueror</v>
      </c>
      <c r="D21" s="3" t="str">
        <v>Flash + Ghost</v>
      </c>
      <c r="E21" s="3" t="str">
        <v>Passive und Minion-Resets geben Irelia starke Lane-Fenster. Auf leerer Lane und nach E/W kann Olaf den längeren Kampf gewinnen. Die Wave entscheidet stärker als ein pauschaler Champion-Statcheck.</v>
      </c>
      <c r="F21" s="3" t="str">
        <v>E-Miss, W beendet und Q ohne Reset verbraucht. BORK-Komplettierung ist gegnerischer Spike, kein eigener Angriffsbefehl.</v>
      </c>
      <c r="G21" s="3" t="str">
        <v>Mehrere Re-engages, W-Reduktion und Lifesteal verlangen langen Gegenschaden. Conqueror ist zuverlässiger als PTA hinter einer Dash-Kette herzujagen.</v>
      </c>
      <c r="H21" s="15" t="str">
        <v>Matchups/Olaf_vs_irelia.xlsx</v>
      </c>
      <c r="I21" s="3" t="str">
        <v>26.18 · 10.09.2026</v>
      </c>
      <c r="J21" s="3" t="str">
        <v>D</v>
      </c>
      <c r="K21" s="3" t="str">
        <v>C</v>
      </c>
      <c r="L21" s="3" t="str">
        <v>C</v>
      </c>
      <c r="M21" s="3" t="str">
        <v>Tier beibehalten. Lane D, späte Side C: Passive und Minion-Resets geben Irelia starke Lane-Fenster. Auf leerer Lane und nach E/W kann Olaf den längeren Kampf gewinnen. Die Wave entscheidet stärker als ein pauschaler Champion-Statcheck.</v>
      </c>
    </row>
    <row r="22" ht="80" customHeight="1">
      <c r="A22" s="3" t="str">
        <v>Jax</v>
      </c>
      <c r="B22" s="10" t="str">
        <v>C</v>
      </c>
      <c r="C22" s="3" t="str">
        <v>Conqueror</v>
      </c>
      <c r="D22" s="3" t="str">
        <v>Flash + Ghost</v>
      </c>
      <c r="E22" s="3" t="str">
        <v>Jax-E blockiert Autos und Lifesteal, Olafs E bleibt als Antwort verfügbar. Nach Counter Strike existieren frühe lange Killfenster, besonders nach offensivem Q. Häufigere E-Zyklen erschweren die späte Side, begründen aber kein F für das gesamte Matchup.</v>
      </c>
      <c r="F22" s="3" t="str">
        <v>E gerade vorbei und Q offensiv verbraucht. Am besten zusätzlich wenig Passive-Stacks. Gegen E plus Q verfügbar ist ein Q-Treffer allein zu wenig.</v>
      </c>
      <c r="G22" s="3" t="str">
        <v>PTA wird durch E und Q häufig vor dem dritten Treffer unterbrochen. Q und E können Conqueror aufbauen und der Fight muss nach Counter Strike weitergehen. Kein Vorteil während Auto-Dodge behauptet.</v>
      </c>
      <c r="H22" s="15" t="str">
        <v>Matchups/Olaf_vs_jax.xlsx</v>
      </c>
      <c r="I22" s="3" t="str">
        <v>26.18 · 10.09.2026</v>
      </c>
      <c r="J22" s="3" t="str">
        <v>C</v>
      </c>
      <c r="K22" s="3" t="str">
        <v>D</v>
      </c>
      <c r="L22" s="3" t="str">
        <v>F</v>
      </c>
      <c r="M22" s="3" t="str">
        <v>Tier F → C. Lane C, späte Side D: Jax-E blockiert Autos und Lifesteal, Olafs E bleibt als Antwort verfügbar. Nach Counter Strike existieren frühe lange Killfenster, besonders nach offensivem Q. Häufigere E-Zyklen erschweren die späte Side, begründen aber kein F für das gesamte Matchup.</v>
      </c>
    </row>
    <row r="23" ht="80" customHeight="1">
      <c r="A23" s="3" t="str">
        <v>Jayce</v>
      </c>
      <c r="B23" s="12" t="str">
        <v>B</v>
      </c>
      <c r="C23" s="3" t="str">
        <v>PTA</v>
      </c>
      <c r="D23" s="3" t="str">
        <v>Flash + Ghost</v>
      </c>
      <c r="E23" s="3" t="str">
        <v>Jayce kann vor 6 mit Poke und Hammer-E Abstand halten. Olaf erhält auf 6 einen neuen Zugriff, während Jayce keinen neuen Ultimate-Button bekommt. Gesundes Ankommen bleibt die Bedingung.</v>
      </c>
      <c r="F23" s="3" t="str">
        <v>Hammer-E verbraucht und Gate bereits benutzt. Q-Poke-Miss senkt den Schaden vor dem Anlauf.</v>
      </c>
      <c r="G23" s="3" t="str">
        <v>Nach verbrauchtem Hammer-E bekommt Olaf mehrere Autos, bevor Jayce erneut Abstand gewinnt. PTA passt zum kurzen Kontaktfenster.</v>
      </c>
      <c r="H23" s="15" t="str">
        <v>Matchups/Olaf_vs_jayce.xlsx</v>
      </c>
      <c r="I23" s="3" t="str">
        <v>26.18 · 10.09.2026</v>
      </c>
      <c r="J23" s="3" t="str">
        <v>C</v>
      </c>
      <c r="K23" s="3" t="str">
        <v>B</v>
      </c>
      <c r="L23" s="3" t="str">
        <v>B</v>
      </c>
      <c r="M23" s="3" t="str">
        <v>Tier beibehalten. Lane C, späte Side B: Jayce kann vor 6 mit Poke und Hammer-E Abstand halten. Olaf erhält auf 6 einen neuen Zugriff, während Jayce keinen neuen Ultimate-Button bekommt. Gesundes Ankommen bleibt die Bedingung.</v>
      </c>
    </row>
    <row r="24" ht="80" customHeight="1">
      <c r="A24" s="3" t="str">
        <v>K’Sante</v>
      </c>
      <c r="B24" s="12" t="str">
        <v>B</v>
      </c>
      <c r="C24" s="3" t="str">
        <v>Conqueror</v>
      </c>
      <c r="D24" s="3" t="str">
        <v>Flash + Ghost</v>
      </c>
      <c r="E24" s="3" t="str">
        <v>Olafs E und R helfen gegen Tankwerte und Kontrolle. K’Santes W-/All-Out-Fenster können das Duell dennoch drehen. Der leichte Vorteil setzt sauberes Dodging und das Erkennen seiner neuen Cooldown-Situation voraus.</v>
      </c>
      <c r="F24" s="3" t="str">
        <v>W und E verbraucht, keine verfügbare R-Resetmöglichkeit. Q3 verfehlt öffnet vor 6 eine kurze Kontaktphase.</v>
      </c>
      <c r="G24" s="3" t="str">
        <v>Shield- und W-Phasen plus hohe effektive HP erfordern mehrere E-Zyklen. Conqueror statt eines kurzen Dreiertrades gegen seine Defensive.</v>
      </c>
      <c r="H24" s="15" t="str">
        <v>Matchups/Olaf_vs_ksante.xlsx</v>
      </c>
      <c r="I24" s="3" t="str">
        <v>26.18 · 10.09.2026</v>
      </c>
      <c r="J24" s="3" t="str">
        <v>C</v>
      </c>
      <c r="K24" s="3" t="str">
        <v>C</v>
      </c>
      <c r="L24" s="3" t="str">
        <v>B</v>
      </c>
      <c r="M24" s="3" t="str">
        <v>Tier beibehalten. Lane C, späte Side C: Olafs E und R helfen gegen Tankwerte und Kontrolle. K’Santes W-/All-Out-Fenster können das Duell dennoch drehen. Der leichte Vorteil setzt sauberes Dodging und das Erkennen seiner neuen Cooldown-Situation voraus.</v>
      </c>
    </row>
    <row r="25" ht="80" customHeight="1">
      <c r="A25" s="3" t="str">
        <v>Kayle</v>
      </c>
      <c r="B25" s="10" t="str">
        <v>C</v>
      </c>
      <c r="C25" s="3" t="str">
        <v>PTA</v>
      </c>
      <c r="D25" s="3" t="str">
        <v>Flash + Ghost</v>
      </c>
      <c r="E25" s="3" t="str">
        <v>Olaf hat eine reale frühe Denial- und Killphase, die vorher vom späten Scaling überdeckt wurde. Kayles R und spätere Reichweite verlangen, diesen Vorteil umzusetzen. Gesamt ausgeglichen mit klar unterschiedlicher Zeitpräferenz.</v>
      </c>
      <c r="F25" s="3" t="str">
        <v>R verbraucht plus W fehlt. Vor 6 Q-Miss bei langer Lane. Ab 11 höheren DPS und ab 16 zusätzliche Range berücksichtigen.</v>
      </c>
      <c r="G25" s="3" t="str">
        <v>Nach Q/W-Verbrauch ist ein kurzes Killfenster vor sicherem Rückzug relevant. PTA hilft, bevor sie ihren nächsten Abstandszugang bekommt. Späteres Invulnerability-Fenster muss trotzdem ausgesessen werden.</v>
      </c>
      <c r="H25" s="15" t="str">
        <v>Matchups/Olaf_vs_kayle.xlsx</v>
      </c>
      <c r="I25" s="3" t="str">
        <v>26.18 · 10.09.2026</v>
      </c>
      <c r="J25" s="3" t="str">
        <v>A</v>
      </c>
      <c r="K25" s="3" t="str">
        <v>E</v>
      </c>
      <c r="L25" s="3" t="str">
        <v>D</v>
      </c>
      <c r="M25" s="3" t="str">
        <v>Tier D → C. Lane A, späte Side E: Olaf hat eine reale frühe Denial- und Killphase, die vorher vom späten Scaling überdeckt wurde. Kayles R und spätere Reichweite verlangen, diesen Vorteil umzusetzen. Gesamt ausgeglichen mit klar unterschiedlicher Zeitpräferenz.</v>
      </c>
    </row>
    <row r="26" ht="80" customHeight="1">
      <c r="A26" s="3" t="str">
        <v>Kennen</v>
      </c>
      <c r="B26" s="13" t="str">
        <v>A</v>
      </c>
      <c r="C26" s="3" t="str">
        <v>PTA</v>
      </c>
      <c r="D26" s="3" t="str">
        <v>Flash + Ghost</v>
      </c>
      <c r="E26" s="3" t="str">
        <v>Nach verbrauchtem E kann Olaf ab 6 den Stun übergehen und nah bleiben. Kennen darf vorher keinen großen HP-Vorsprung aufbauen. Sein Teamfight ist gefährlicher als sein ungeschütztes Side-Duell.</v>
      </c>
      <c r="F26" s="3" t="str">
        <v>E verbraucht und Kennen weit vom Turm. R fehlt: auch ein zweiter Angriff nach Reset möglich.</v>
      </c>
      <c r="G26" s="3" t="str">
        <v>Nach verbrauchtem E sind drei Autos realistisch und das Killfenster kurz. Conqueror lädt gegen ständigen Rückzug häufig zu spät auf.</v>
      </c>
      <c r="H26" s="15" t="str">
        <v>Matchups/Olaf_vs_kennen.xlsx</v>
      </c>
      <c r="I26" s="3" t="str">
        <v>26.18 · 10.09.2026</v>
      </c>
      <c r="J26" s="3" t="str">
        <v>B</v>
      </c>
      <c r="K26" s="3" t="str">
        <v>B</v>
      </c>
      <c r="L26" s="3" t="str">
        <v>A</v>
      </c>
      <c r="M26" s="3" t="str">
        <v>Tier beibehalten. Lane B, späte Side B: Nach verbrauchtem E kann Olaf ab 6 den Stun übergehen und nah bleiben. Kennen darf vorher keinen großen HP-Vorsprung aufbauen. Sein Teamfight ist gefährlicher als sein ungeschütztes Side-Duell.</v>
      </c>
    </row>
    <row r="27" ht="80" customHeight="1">
      <c r="A27" s="3" t="str">
        <v>Kled</v>
      </c>
      <c r="B27" s="11" t="str">
        <v>D</v>
      </c>
      <c r="C27" s="3" t="str">
        <v>Conqueror</v>
      </c>
      <c r="D27" s="3" t="str">
        <v>Flash + Ghost</v>
      </c>
      <c r="E27" s="3" t="str">
        <v>W-Burst und Remount machen Fehler teuer. Nach verbrauchtem W und bei kontrollierter Courage besitzt Olaf aber echte Gegenfenster. Kled-Q hat keinen eingebauten Antiheal mehr; darauf darf kein negativer Tier beruhen.</v>
      </c>
      <c r="F27" s="3" t="str">
        <v>W verbraucht und weiterer Auto-Zugang begrenzt; E verfehlt; Kled unmounted mit wenig Courage. Bei voller Courage kommen Remount-HP sofort, daher nicht auf eine letzte Animationslücke setzen.</v>
      </c>
      <c r="G27" s="3" t="str">
        <v>Dismount, Courage und erneuter Kontakt machen das All-in länger als einen PTA-Proc. Conqueror passt zur notwendigen zweiten Schadensphase.</v>
      </c>
      <c r="H27" s="15" t="str">
        <v>Matchups/Olaf_vs_kled.xlsx</v>
      </c>
      <c r="I27" s="3" t="str">
        <v>26.18 · 10.09.2026</v>
      </c>
      <c r="J27" s="3" t="str">
        <v>D</v>
      </c>
      <c r="K27" s="3" t="str">
        <v>C</v>
      </c>
      <c r="L27" s="3" t="str">
        <v>E</v>
      </c>
      <c r="M27" s="3" t="str">
        <v>Tier E → D. Lane D, späte Side C: W-Burst und Remount machen Fehler teuer. Nach verbrauchtem W und bei kontrollierter Courage besitzt Olaf aber echte Gegenfenster. Kled-Q hat keinen eingebauten Antiheal mehr; darauf darf kein negativer Tier beruhen.</v>
      </c>
    </row>
    <row r="28" ht="80" customHeight="1">
      <c r="A28" s="3" t="str">
        <v>Malphite</v>
      </c>
      <c r="B28" s="12" t="str">
        <v>B</v>
      </c>
      <c r="C28" s="3" t="str">
        <v>Conqueror</v>
      </c>
      <c r="D28" s="3" t="str">
        <v>Flash + Ghost</v>
      </c>
      <c r="E28" s="3" t="str">
        <v>E-True-Damage und R erlauben Olaf einen sinnvollen Plan gegen Armor und CC. Malphite kann mit Q-Tempo und R Kämpfe verweigern. Vorteil im Duell bedeutet keinen automatischen Sieg über seinen Team-Engage.</v>
      </c>
      <c r="F28" s="3" t="str">
        <v>Q/E verbraucht bei langer Lane; R fehlt nach misslungenem Engage. Schild noch nicht regeneriert erleichtert den nächsten Trade.</v>
      </c>
      <c r="G28" s="3" t="str">
        <v>Schild, Armor und wiederholte Q-Rückzüge verlängern das Matchup. Drei schnelle Autos allein lösen die effektiven HP nicht.</v>
      </c>
      <c r="H28" s="15" t="str">
        <v>Matchups/Olaf_vs_malphite.xlsx</v>
      </c>
      <c r="I28" s="3" t="str">
        <v>26.18 · 10.09.2026</v>
      </c>
      <c r="J28" s="3" t="str">
        <v>B</v>
      </c>
      <c r="K28" s="3" t="str">
        <v>B</v>
      </c>
      <c r="L28" s="3" t="str">
        <v>B</v>
      </c>
      <c r="M28" s="3" t="str">
        <v>Tier beibehalten. Lane B, späte Side B: E-True-Damage und R erlauben Olaf einen sinnvollen Plan gegen Armor und CC. Malphite kann mit Q-Tempo und R Kämpfe verweigern. Vorteil im Duell bedeutet keinen automatischen Sieg über seinen Team-Engage.</v>
      </c>
    </row>
    <row r="29" ht="80" customHeight="1">
      <c r="A29" s="3" t="str">
        <v>Mordekaiser</v>
      </c>
      <c r="B29" s="13" t="str">
        <v>A</v>
      </c>
      <c r="C29" s="3" t="str">
        <v>Conqueror</v>
      </c>
      <c r="D29" s="3" t="str">
        <v>Flash + Ghost</v>
      </c>
      <c r="E29" s="3" t="str">
        <v>Olaf kann lange Kontakte erzwingen und mit rechtzeitiger R den Banish verhindern. W-Schild und isolierte Qs bleiben gefährlich. Ein bereits abgeschlossener Death-Realm-Cast lässt sich nicht nachträglich reinigen.</v>
      </c>
      <c r="F29" s="3" t="str">
        <v>E verfehlt, Q verbraucht, W gerade genutzt. R-CD erlaubt aggressivere Waveposition ohne Realm-Falle.</v>
      </c>
      <c r="G29" s="3" t="str">
        <v>Mordes W-Schild und passive Schadenszone verlangen längeren DPS. Conqueror bleibt über seine Schildphase nützlich.</v>
      </c>
      <c r="H29" s="15" t="str">
        <v>Matchups/Olaf_vs_mordekaiser.xlsx</v>
      </c>
      <c r="I29" s="3" t="str">
        <v>26.18 · 10.09.2026</v>
      </c>
      <c r="J29" s="3" t="str">
        <v>A</v>
      </c>
      <c r="K29" s="3" t="str">
        <v>B</v>
      </c>
      <c r="L29" s="3" t="str">
        <v>A</v>
      </c>
      <c r="M29" s="3" t="str">
        <v>Tier beibehalten. Lane A, späte Side B: Olaf kann lange Kontakte erzwingen und mit rechtzeitiger R den Banish verhindern. W-Schild und isolierte Qs bleiben gefährlich. Ein bereits abgeschlossener Death-Realm-Cast lässt sich nicht nachträglich reinigen.</v>
      </c>
    </row>
    <row r="30" ht="80" customHeight="1">
      <c r="A30" s="3" t="str">
        <v>Nasus</v>
      </c>
      <c r="B30" s="12" t="str">
        <v>B</v>
      </c>
      <c r="C30" s="3" t="str">
        <v>Conqueror</v>
      </c>
      <c r="D30" s="3" t="str">
        <v>Flash + Ghost</v>
      </c>
      <c r="E30" s="3" t="str">
        <v>Olaf kann frühe Q-Last-Hits bedrohen und während Ragnarok Wither übergehen. Das schafft mehr als eine bloß neutrale Lane. Freie Stacks, Nasus-R und auslaufende eigene R können die spätere Side trotzdem drehen.</v>
      </c>
      <c r="F30" s="3" t="str">
        <v>R beendet und Q gerade genutzt. W verbraucht vor 6. Ein Q auf Minion ist nur ein kurzes Fenster, kein langer Freifahrtschein.</v>
      </c>
      <c r="G30" s="3" t="str">
        <v>Hohe HP, Heilung und wiederholte Qs machen sein R-All-in lang. PTA ersetzt keinen Plan, seine R auslaufen zu lassen.</v>
      </c>
      <c r="H30" s="15" t="str">
        <v>Matchups/Olaf_vs_nasus.xlsx</v>
      </c>
      <c r="I30" s="3" t="str">
        <v>26.18 · 10.09.2026</v>
      </c>
      <c r="J30" s="3" t="str">
        <v>A</v>
      </c>
      <c r="K30" s="3" t="str">
        <v>D</v>
      </c>
      <c r="L30" s="3" t="str">
        <v>C</v>
      </c>
      <c r="M30" s="3" t="str">
        <v>Tier C → B. Lane A, späte Side D: Olaf kann frühe Q-Last-Hits bedrohen und während Ragnarok Wither übergehen. Das schafft mehr als eine bloß neutrale Lane. Freie Stacks, Nasus-R und auslaufende eigene R können die spätere Side trotzdem drehen.</v>
      </c>
    </row>
    <row r="31" ht="80" customHeight="1">
      <c r="A31" s="3" t="str">
        <v>Ornn</v>
      </c>
      <c r="B31" s="12" t="str">
        <v>B</v>
      </c>
      <c r="C31" s="3" t="str">
        <v>Conqueror</v>
      </c>
      <c r="D31" s="3" t="str">
        <v>Flash + Ghost</v>
      </c>
      <c r="E31" s="3" t="str">
        <v>Olaf kann CC übergehen und Ornn auf langer Lane unter Druck setzen. Ornn muss aber keine Soloduells gewinnen, um über Upgrades und Engage wirksam zu sein. Deshalb deutlicher Lane-, aber nur leichter Gesamtvorteil.</v>
      </c>
      <c r="F31" s="3" t="str">
        <v>W und E verbraucht. Fehlendes R macht Gank-Setup und Selbstverteidigung schwächer.</v>
      </c>
      <c r="G31" s="3" t="str">
        <v>Armor, HP und mehrere Schild-/Defensivkäufe verlangen nachhaltigen Schaden. Kurzer PTA-Burst ist selten das entscheidende Killfenster.</v>
      </c>
      <c r="H31" s="15" t="str">
        <v>Matchups/Olaf_vs_ornn.xlsx</v>
      </c>
      <c r="I31" s="3" t="str">
        <v>26.18 · 10.09.2026</v>
      </c>
      <c r="J31" s="3" t="str">
        <v>A</v>
      </c>
      <c r="K31" s="3" t="str">
        <v>B</v>
      </c>
      <c r="L31" s="3" t="str">
        <v>A</v>
      </c>
      <c r="M31" s="3" t="str">
        <v>Tier A → B. Lane A, späte Side B: Olaf kann CC übergehen und Ornn auf langer Lane unter Druck setzen. Ornn muss aber keine Soloduells gewinnen, um über Upgrades und Engage wirksam zu sein. Deshalb deutlicher Lane-, aber nur leichter Gesamtvorteil.</v>
      </c>
    </row>
    <row r="32" ht="80" customHeight="1">
      <c r="A32" s="3" t="str">
        <v>Pantheon</v>
      </c>
      <c r="B32" s="12" t="str">
        <v>B</v>
      </c>
      <c r="C32" s="3" t="str">
        <v>Conqueror</v>
      </c>
      <c r="D32" s="3" t="str">
        <v>Flash + Ghost</v>
      </c>
      <c r="E32" s="3" t="str">
        <v>Vor 6 sind Q-Poke und empowered W ernst. Nach seiner E-Defensive und ab Olaf-R ist der lange Kontakt günstiger. Seine Roams und spätere Armor-Penetration verhindern einen bedingungslosen Vorteil.</v>
      </c>
      <c r="F32" s="3" t="str">
        <v>E beendet und W fehlt; Q verfehlt verbessert den Einstieg. Sein R-Roam gibt ein Wave-/Turmfenster.</v>
      </c>
      <c r="G32" s="3" t="str">
        <v>E unterbricht Olafs sinnvollen Auto-Schaden; Q/E können Conqueror vor dem anschließenden Fight vorbereiten. PTA ist erst nach E zuverlässig.</v>
      </c>
      <c r="H32" s="15" t="str">
        <v>Matchups/Olaf_vs_pantheon.xlsx</v>
      </c>
      <c r="I32" s="3" t="str">
        <v>26.18 · 10.09.2026</v>
      </c>
      <c r="J32" s="3" t="str">
        <v>C</v>
      </c>
      <c r="K32" s="3" t="str">
        <v>B</v>
      </c>
      <c r="L32" s="3" t="str">
        <v>B</v>
      </c>
      <c r="M32" s="3" t="str">
        <v>Tier beibehalten. Lane C, späte Side B: Vor 6 sind Q-Poke und empowered W ernst. Nach seiner E-Defensive und ab Olaf-R ist der lange Kontakt günstiger. Seine Roams und spätere Armor-Penetration verhindern einen bedingungslosen Vorteil.</v>
      </c>
    </row>
    <row r="33" ht="80" customHeight="1">
      <c r="A33" s="3" t="str">
        <v>Poppy</v>
      </c>
      <c r="B33" s="12" t="str">
        <v>B</v>
      </c>
      <c r="C33" s="3" t="str">
        <v>Conqueror</v>
      </c>
      <c r="D33" s="3" t="str">
        <v>Flash + Ghost</v>
      </c>
      <c r="E33" s="3" t="str">
        <v>Olaf läuft statt zu dashen und kann ihren kontrollierenden Disengage mit R übergehen. Q-Schaden, Schild und Armor erlauben Poppy trotzdem gutes Stallen. Der erreichbare Dauerkampf ist Olafs Vorteil.</v>
      </c>
      <c r="F33" s="3" t="str">
        <v>E verfehlt/ohne Wandwert, Q verbraucht, Schild nicht erreichbar. R fehlt erleichtert den nächsten Chase.</v>
      </c>
      <c r="G33" s="3" t="str">
        <v>Schild, Armor und kurze Rückzüge machen mehrere Schadensrotationen nötig. Conqueror passt zum anschließenden langen Nahkampf.</v>
      </c>
      <c r="H33" s="15" t="str">
        <v>Matchups/Olaf_vs_poppy.xlsx</v>
      </c>
      <c r="I33" s="3" t="str">
        <v>26.18 · 10.09.2026</v>
      </c>
      <c r="J33" s="3" t="str">
        <v>B</v>
      </c>
      <c r="K33" s="3" t="str">
        <v>B</v>
      </c>
      <c r="L33" s="3" t="str">
        <v>A</v>
      </c>
      <c r="M33" s="3" t="str">
        <v>Tier A → B. Lane B, späte Side B: Olaf läuft statt zu dashen und kann ihren kontrollierenden Disengage mit R übergehen. Q-Schaden, Schild und Armor erlauben Poppy trotzdem gutes Stallen. Der erreichbare Dauerkampf ist Olafs Vorteil.</v>
      </c>
    </row>
    <row r="34" ht="80" customHeight="1">
      <c r="A34" s="3" t="str">
        <v>Quinn</v>
      </c>
      <c r="B34" s="12" t="str">
        <v>B</v>
      </c>
      <c r="C34" s="3" t="str">
        <v>PTA</v>
      </c>
      <c r="D34" s="3" t="str">
        <v>Flash + Ghost</v>
      </c>
      <c r="E34" s="3" t="str">
        <v>Quinn kontrolliert Reichweite, Olaf bekommt mit R eine Antwort auf ihren CC. Nach Vault ist der lange Rückweg nutzbar. Ihre eigene Bewegung und Roams bleiben bestehen, auch wenn der Knockback scheitert.</v>
      </c>
      <c r="F34" s="3" t="str">
        <v>E verbraucht und Q verfehlt/auf CD; Quinn zu weit vom Turm. Nach Rückkehr von Roam nicht ohne Vision ambushen.</v>
      </c>
      <c r="G34" s="3" t="str">
        <v>Nach E entsteht ein kompaktes Fenster für drei Autos. Langes Aufladen ist gegen ihr ständiges Spacing seltener realistisch.</v>
      </c>
      <c r="H34" s="15" t="str">
        <v>Matchups/Olaf_vs_quinn.xlsx</v>
      </c>
      <c r="I34" s="3" t="str">
        <v>26.18 · 10.09.2026</v>
      </c>
      <c r="J34" s="3" t="str">
        <v>C</v>
      </c>
      <c r="K34" s="3" t="str">
        <v>C</v>
      </c>
      <c r="L34" s="3" t="str">
        <v>B</v>
      </c>
      <c r="M34" s="3" t="str">
        <v>Tier beibehalten. Lane C, späte Side C: Quinn kontrolliert Reichweite, Olaf bekommt mit R eine Antwort auf ihren CC. Nach Vault ist der lange Rückweg nutzbar. Ihre eigene Bewegung und Roams bleiben bestehen, auch wenn der Knockback scheitert.</v>
      </c>
    </row>
    <row r="35" ht="80" customHeight="1">
      <c r="A35" s="3" t="str">
        <v>Renekton</v>
      </c>
      <c r="B35" s="10" t="str">
        <v>C</v>
      </c>
      <c r="C35" s="3" t="str">
        <v>Conqueror</v>
      </c>
      <c r="D35" s="3" t="str">
        <v>Flash + Ghost</v>
      </c>
      <c r="E35" s="3" t="str">
        <v>Renektons vorbereitete Fury und kurze E-Trades sind früh stark. Olaf kann nach E2 und empowered W verlängern und wird im direkten längeren Duell konkurrenzfähiger. W-Schild-Timing bleibt zentral.</v>
      </c>
      <c r="F35" s="3" t="str">
        <v>E2 verbraucht, wenig Fury und Q/W fehlen. Nach R-Ende erneuter Angriff besser als in seinen vollen Spike.</v>
      </c>
      <c r="G35" s="3" t="str">
        <v>Renektons R-HP und mehrere E-Bewegungen verlängern den Kampf. Der wichtige Schaden kommt nach seinem Burst, nicht zwingend in drei frühen Autos.</v>
      </c>
      <c r="H35" s="15" t="str">
        <v>Matchups/Olaf_vs_renekton.xlsx</v>
      </c>
      <c r="I35" s="3" t="str">
        <v>26.18 · 10.09.2026</v>
      </c>
      <c r="J35" s="3" t="str">
        <v>D</v>
      </c>
      <c r="K35" s="3" t="str">
        <v>B</v>
      </c>
      <c r="L35" s="3" t="str">
        <v>C</v>
      </c>
      <c r="M35" s="3" t="str">
        <v>Tier beibehalten. Lane D, späte Side B: Renektons vorbereitete Fury und kurze E-Trades sind früh stark. Olaf kann nach E2 und empowered W verlängern und wird im direkten längeren Duell konkurrenzfähiger. W-Schild-Timing bleibt zentral.</v>
      </c>
    </row>
    <row r="36" ht="80" customHeight="1">
      <c r="A36" s="3" t="str">
        <v>Riven</v>
      </c>
      <c r="B36" s="13" t="str">
        <v>A</v>
      </c>
      <c r="C36" s="3" t="str">
        <v>Conqueror</v>
      </c>
      <c r="D36" s="3" t="str">
        <v>Flash + Ghost</v>
      </c>
      <c r="E36" s="3" t="str">
        <v>Riven braucht ihre CC- und Dash-Kette für sichere Trades. Olaf-R nimmt viel von der Kontrolle; nach verbrauchter Mobilität ist sein langer Fight stark. Q-Vorbereitung und R2-Burst müssen trotzdem respektiert werden.</v>
      </c>
      <c r="F36" s="3" t="str">
        <v>E plus Q-Kette verbraucht; R2 verfehlt. Fehlende W erleichtert Kontakt vor 6.</v>
      </c>
      <c r="G36" s="3" t="str">
        <v>Mehrere Dash-/Schildzyklen unterbrechen drei frühe Autos. Conqueror lässt sich über Q/E und anschließenden Kontakt nutzen; kein Grund, blind hinterherzulaufen.</v>
      </c>
      <c r="H36" s="15" t="str">
        <v>Matchups/Olaf_vs_riven.xlsx</v>
      </c>
      <c r="I36" s="3" t="str">
        <v>26.18 · 10.09.2026</v>
      </c>
      <c r="J36" s="3" t="str">
        <v>B</v>
      </c>
      <c r="K36" s="3" t="str">
        <v>B</v>
      </c>
      <c r="L36" s="3" t="str">
        <v>A</v>
      </c>
      <c r="M36" s="3" t="str">
        <v>Tier beibehalten. Lane B, späte Side B: Riven braucht ihre CC- und Dash-Kette für sichere Trades. Olaf-R nimmt viel von der Kontrolle; nach verbrauchter Mobilität ist sein langer Fight stark. Q-Vorbereitung und R2-Burst müssen trotzdem respektiert werden.</v>
      </c>
    </row>
    <row r="37" ht="80" customHeight="1">
      <c r="A37" s="3" t="str">
        <v>Rumble</v>
      </c>
      <c r="B37" s="11" t="str">
        <v>D</v>
      </c>
      <c r="C37" s="3" t="str">
        <v>Conqueror</v>
      </c>
      <c r="D37" s="3" t="str">
        <v>Flash + Ghost</v>
      </c>
      <c r="E37" s="3" t="str">
        <v>Olaf kann Rumble erreichen und früh Druck machen, muss dabei aber Heat, Q und R-Fläche ausspielen. Magischer Dauerschaden und Rumbles Objective-Wert begrenzen den Nutzen von Ragnarok. Leichter Gesamt-Nachteil, keine automatisch verlorene Lane.</v>
      </c>
      <c r="F37" s="3" t="str">
        <v>Q beendet und W verbraucht; R verfehlt oder bereits verlassen. Harpunen-Ladungen mitdenken.</v>
      </c>
      <c r="G37" s="3" t="str">
        <v>Schild und Overheat-Autos erzeugen echte längere Melee-Fights. PTA kann funktionieren, ersetzt aber nicht das Überleben seiner Heat-Phase.</v>
      </c>
      <c r="H37" s="15" t="str">
        <v>Matchups/Olaf_vs_rumble.xlsx</v>
      </c>
      <c r="I37" s="3" t="str">
        <v>26.18 · 10.09.2026</v>
      </c>
      <c r="J37" s="3" t="str">
        <v>C</v>
      </c>
      <c r="K37" s="3" t="str">
        <v>C</v>
      </c>
      <c r="L37" s="3" t="str">
        <v>D</v>
      </c>
      <c r="M37" s="3" t="str">
        <v>Tier beibehalten. Lane C, späte Side C: Olaf kann Rumble erreichen und früh Druck machen, muss dabei aber Heat, Q und R-Fläche ausspielen. Magischer Dauerschaden und Rumbles Objective-Wert begrenzen den Nutzen von Ragnarok. Leichter Gesamt-Nachteil, keine automatisch verlorene Lane.</v>
      </c>
    </row>
    <row r="38" ht="80" customHeight="1">
      <c r="A38" s="3" t="str">
        <v>Sett</v>
      </c>
      <c r="B38" s="10" t="str">
        <v>C</v>
      </c>
      <c r="C38" s="3" t="str">
        <v>Conqueror</v>
      </c>
      <c r="D38" s="3" t="str">
        <v>Flash + Ghost</v>
      </c>
      <c r="E38" s="3" t="str">
        <v>Sett bestraft frühe unkontrollierte Melee-Trades. Olaf kann nach W oder mit vermiedenem Zentrum weiterkämpfen und E-CC während R übergehen. Setts Burst ist eine Bedingung des Duells, kein genereller Beleg für ein schlechtes Gesamtmatchup.</v>
      </c>
      <c r="F38" s="3" t="str">
        <v>W verbraucht/verfehlt und E fehlt. Ein volles Grit-Band ist Gefahr, kein Einladungssignal.</v>
      </c>
      <c r="G38" s="3" t="str">
        <v>Grit-Schild und mehrere Autozyklen verlängern das Duell. Conqueror passt zum Kampf nach Setts erster Schadensphase.</v>
      </c>
      <c r="H38" s="15" t="str">
        <v>Matchups/Olaf_vs_sett.xlsx</v>
      </c>
      <c r="I38" s="3" t="str">
        <v>26.18 · 10.09.2026</v>
      </c>
      <c r="J38" s="3" t="str">
        <v>D</v>
      </c>
      <c r="K38" s="3" t="str">
        <v>C</v>
      </c>
      <c r="L38" s="3" t="str">
        <v>D</v>
      </c>
      <c r="M38" s="3" t="str">
        <v>Tier D → C. Lane D, späte Side C: Sett bestraft frühe unkontrollierte Melee-Trades. Olaf kann nach W oder mit vermiedenem Zentrum weiterkämpfen und E-CC während R übergehen. Setts Burst ist eine Bedingung des Duells, kein genereller Beleg für ein schlechtes Gesamtmatchup.</v>
      </c>
    </row>
    <row r="39" ht="80" customHeight="1">
      <c r="A39" s="3" t="str">
        <v>Shen</v>
      </c>
      <c r="B39" s="12" t="str">
        <v>B</v>
      </c>
      <c r="C39" s="3" t="str">
        <v>Conqueror</v>
      </c>
      <c r="D39" s="3" t="str">
        <v>Flash + Ghost</v>
      </c>
      <c r="E39" s="3" t="str">
        <v>Shens frühes Q und W sind echte Duellwerkzeuge. Nach deren Ablauf und mit Waveclear kann Olaf lange Trades und Turmgegenwert erzeugen. Shens globale R verhindert, dass Side-Druck allein das Gesamtspiel beschreibt.</v>
      </c>
      <c r="F39" s="3" t="str">
        <v>W beendet und E verbraucht. Nach seinen empowered Q-Autos besseres Nahkampffenster.</v>
      </c>
      <c r="G39" s="3" t="str">
        <v>W pausiert Auto-Uptime, Q/E können Conqueror aufbauen. Nach der Zone folgt ein längerer Fight gegen Schild und HP.</v>
      </c>
      <c r="H39" s="15" t="str">
        <v>Matchups/Olaf_vs_shen.xlsx</v>
      </c>
      <c r="I39" s="3" t="str">
        <v>26.18 · 10.09.2026</v>
      </c>
      <c r="J39" s="3" t="str">
        <v>C</v>
      </c>
      <c r="K39" s="3" t="str">
        <v>B</v>
      </c>
      <c r="L39" s="3" t="str">
        <v>B</v>
      </c>
      <c r="M39" s="3" t="str">
        <v>Tier beibehalten. Lane C, späte Side B: Shens frühes Q und W sind echte Duellwerkzeuge. Nach deren Ablauf und mit Waveclear kann Olaf lange Trades und Turmgegenwert erzeugen. Shens globale R verhindert, dass Side-Druck allein das Gesamtspiel beschreibt.</v>
      </c>
    </row>
    <row r="40" ht="80" customHeight="1">
      <c r="A40" s="3" t="str">
        <v>Singed</v>
      </c>
      <c r="B40" s="12" t="str">
        <v>B</v>
      </c>
      <c r="C40" s="3" t="str">
        <v>Conqueror</v>
      </c>
      <c r="D40" s="3" t="str">
        <v>Flash + Ghost</v>
      </c>
      <c r="E40" s="3" t="str">
        <v>Olaf kann direkten Kontakt gewinnen und mit R Fling/Slow übergehen. Singed kann Duelle verweigern und über Proxy oder Teamkampf gewinnen. Vorteil nur beim Abschneiden seines Wegs, nicht beim Hinterherlaufen durch Gift.</v>
      </c>
      <c r="F40" s="3" t="str">
        <v>R beendet, E verbraucht und Fluchtweg abgeschnitten. Proxy nur mit sicherem zweiten Zugriff als Killfenster.</v>
      </c>
      <c r="G40" s="3" t="str">
        <v>Wiederholte kurze Kontakte und Singed-R-Defensivwerte machen den Fight länger. PTA scheitert oft an fehlenden drei ununterbrochenen Autos.</v>
      </c>
      <c r="H40" s="15" t="str">
        <v>Matchups/Olaf_vs_singed.xlsx</v>
      </c>
      <c r="I40" s="3" t="str">
        <v>26.18 · 10.09.2026</v>
      </c>
      <c r="J40" s="3" t="str">
        <v>B</v>
      </c>
      <c r="K40" s="3" t="str">
        <v>C</v>
      </c>
      <c r="L40" s="3" t="str">
        <v>B</v>
      </c>
      <c r="M40" s="3" t="str">
        <v>Tier beibehalten. Lane B, späte Side C: Olaf kann direkten Kontakt gewinnen und mit R Fling/Slow übergehen. Singed kann Duelle verweigern und über Proxy oder Teamkampf gewinnen. Vorteil nur beim Abschneiden seines Wegs, nicht beim Hinterherlaufen durch Gift.</v>
      </c>
    </row>
    <row r="41" ht="80" customHeight="1">
      <c r="A41" s="3" t="str">
        <v>Sion</v>
      </c>
      <c r="B41" s="12" t="str">
        <v>B</v>
      </c>
      <c r="C41" s="3" t="str">
        <v>Conqueror</v>
      </c>
      <c r="D41" s="3" t="str">
        <v>Flash + Ghost</v>
      </c>
      <c r="E41" s="3" t="str">
        <v>Nach verfehltem Q kann Olaf Sustain und True Damage für Druck nutzen. Sion kann mit HP, Waveclear und Flucht-R Zeit gewinnen. Die Lane ist günstig, ein deutlicher Gesamtvorteil war zu sicher formuliert.</v>
      </c>
      <c r="F41" s="3" t="str">
        <v>Q verfehlt plus W weg. R-CD nimmt den langen Fluchtweg. Nach Kill der Todespassive sicher ausweichen.</v>
      </c>
      <c r="G41" s="3" t="str">
        <v>Hohe effektive HP und W-Schild verlangen mehrere Auto-/E-Zyklen. Conqueror passt besser als kurzer Frontload.</v>
      </c>
      <c r="H41" s="15" t="str">
        <v>Matchups/Olaf_vs_sion.xlsx</v>
      </c>
      <c r="I41" s="3" t="str">
        <v>26.18 · 10.09.2026</v>
      </c>
      <c r="J41" s="3" t="str">
        <v>B</v>
      </c>
      <c r="K41" s="3" t="str">
        <v>B</v>
      </c>
      <c r="L41" s="3" t="str">
        <v>A</v>
      </c>
      <c r="M41" s="3" t="str">
        <v>Tier A → B. Lane B, späte Side B: Nach verfehltem Q kann Olaf Sustain und True Damage für Druck nutzen. Sion kann mit HP, Waveclear und Flucht-R Zeit gewinnen. Die Lane ist günstig, ein deutlicher Gesamtvorteil war zu sicher formuliert.</v>
      </c>
    </row>
    <row r="42" ht="80" customHeight="1">
      <c r="A42" s="3" t="str">
        <v>Sylas</v>
      </c>
      <c r="B42" s="12" t="str">
        <v>B</v>
      </c>
      <c r="C42" s="3" t="str">
        <v>Conqueror</v>
      </c>
      <c r="D42" s="3" t="str">
        <v>Flash + Ghost</v>
      </c>
      <c r="E42" s="3" t="str">
        <v>Olaf kann nach E2-Verfehlung lange Melee-Fights suchen. Sylas-W und gestohlene Ults verändern das Fenster. Die günstige Statistik besitzt eine kleinere Stichprobe und rechtfertigt allein kein höheres Tier.</v>
      </c>
      <c r="F42" s="3" t="str">
        <v>W gerade benutzt und E verfehlt/weg. Gestohlene R beendet verbessert deinen Q-Chase.</v>
      </c>
      <c r="G42" s="3" t="str">
        <v>W-Heilung und erneute E-/Passivzyklen verlangen anhaltenden Schaden. Conqueror profitiert vom langen Nahkampf.</v>
      </c>
      <c r="H42" s="15" t="str">
        <v>Matchups/Olaf_vs_sylas.xlsx</v>
      </c>
      <c r="I42" s="3" t="str">
        <v>26.18 · 10.09.2026</v>
      </c>
      <c r="J42" s="3" t="str">
        <v>B</v>
      </c>
      <c r="K42" s="3" t="str">
        <v>C</v>
      </c>
      <c r="L42" s="3" t="str">
        <v>B</v>
      </c>
      <c r="M42" s="3" t="str">
        <v>Tier beibehalten. Lane B, späte Side C: Olaf kann nach E2-Verfehlung lange Melee-Fights suchen. Sylas-W und gestohlene Ults verändern das Fenster. Die günstige Statistik besitzt eine kleinere Stichprobe und rechtfertigt allein kein höheres Tier.</v>
      </c>
    </row>
    <row r="43" ht="80" customHeight="1">
      <c r="A43" s="3" t="str">
        <v>Tahm Kench</v>
      </c>
      <c r="B43" s="10" t="str">
        <v>C</v>
      </c>
      <c r="C43" s="3" t="str">
        <v>Conqueror</v>
      </c>
      <c r="D43" s="3" t="str">
        <v>Flash + Ghost</v>
      </c>
      <c r="E43" s="3" t="str">
        <v>Olaf kann Tahm nach verfehltem Q bedrohen und Devour mit aktiver R verhindern. Heilung, Schild und große effektive HP machen den Abschluss schwer. Lane-Druck lässt sich nicht automatisch in Kills umwandeln.</v>
      </c>
      <c r="F43" s="3" t="str">
        <v>Q verfehlt und W benutzt; E-Schild abgelaufen. Mehrere defensive Werkzeuge zusammen weg sind wichtiger als ein einzelner Q-CD.</v>
      </c>
      <c r="G43" s="3" t="str">
        <v>Mehrere effektive HP-Balken und Q-Heilung brauchen nachhaltigen Schaden. PTA allein überwindet seine defensive Phase selten.</v>
      </c>
      <c r="H43" s="15" t="str">
        <v>Matchups/Olaf_vs_tahmkench.xlsx</v>
      </c>
      <c r="I43" s="3" t="str">
        <v>26.18 · 10.09.2026</v>
      </c>
      <c r="J43" s="3" t="str">
        <v>B</v>
      </c>
      <c r="K43" s="3" t="str">
        <v>C</v>
      </c>
      <c r="L43" s="3" t="str">
        <v>C</v>
      </c>
      <c r="M43" s="3" t="str">
        <v>Tier beibehalten. Lane B, späte Side C: Olaf kann Tahm nach verfehltem Q bedrohen und Devour mit aktiver R verhindern. Heilung, Schild und große effektive HP machen den Abschluss schwer. Lane-Druck lässt sich nicht automatisch in Kills umwandeln.</v>
      </c>
    </row>
    <row r="44" ht="80" customHeight="1">
      <c r="A44" s="3" t="str">
        <v>Teemo</v>
      </c>
      <c r="B44" s="13" t="str">
        <v>A</v>
      </c>
      <c r="C44" s="3" t="str">
        <v>PTA</v>
      </c>
      <c r="D44" s="3" t="str">
        <v>Flash + Ghost</v>
      </c>
      <c r="E44" s="3" t="str">
        <v>Olaf-R entfernt den Blind als wichtigstes direktes Duellhindernis. Mit gesundem Einstieg kann Olaf ihn auf langer Lane verfolgen. Pilze und vor Kontakt erlittener Poke bleiben relevante Grenzen.</v>
      </c>
      <c r="F44" s="3" t="str">
        <v>Q weg vor 6; W-Tempo verbraucht; ab 6 R/Ghost plus freier Weg und ausreichend HP.</v>
      </c>
      <c r="G44" s="3" t="str">
        <v>Mit R oder nach Blind-Ende sind drei Autos im kurzen Kontaktfenster realistisch. Ohne dieses Fenster ist PTA nicht zuverlässig.</v>
      </c>
      <c r="H44" s="15" t="str">
        <v>Matchups/Olaf_vs_teemo.xlsx</v>
      </c>
      <c r="I44" s="3" t="str">
        <v>26.18 · 10.09.2026</v>
      </c>
      <c r="J44" s="3" t="str">
        <v>A</v>
      </c>
      <c r="K44" s="3" t="str">
        <v>B</v>
      </c>
      <c r="L44" s="3" t="str">
        <v>A</v>
      </c>
      <c r="M44" s="3" t="str">
        <v>Tier beibehalten. Lane A, späte Side B: Olaf-R entfernt den Blind als wichtigstes direktes Duellhindernis. Mit gesundem Einstieg kann Olaf ihn auf langer Lane verfolgen. Pilze und vor Kontakt erlittener Poke bleiben relevante Grenzen.</v>
      </c>
    </row>
    <row r="45" ht="80" customHeight="1">
      <c r="A45" s="3" t="str">
        <v>Trundle</v>
      </c>
      <c r="B45" s="14" t="str">
        <v>E</v>
      </c>
      <c r="C45" s="3" t="str">
        <v>Conqueror</v>
      </c>
      <c r="D45" s="3" t="str">
        <v>Flash + Ghost</v>
      </c>
      <c r="E45" s="3" t="str">
        <v>AD-Verschiebung durch Q, W und R-Stat-Steal treffen Olafs langen Nahkampf direkt. Olaf muss W-Zone und R-Zeitfenster gezielt umgehen. Der deutliche Nachteil hat sowohl einen Kit-Grund als auch negative unterstützende Paarungsdaten.</v>
      </c>
      <c r="F45" s="3" t="str">
        <v>W und R beendet; E verbraucht öffnet Rückweg. Ein einzelnes Q auf Minion reicht selten für volles All-in.</v>
      </c>
      <c r="G45" s="3" t="str">
        <v>Beide heilen und liefern über viele Autos Schaden. Conqueror ist für den langen Statcheck passender als kurzer PTA-Frontload.</v>
      </c>
      <c r="H45" s="15" t="str">
        <v>Matchups/Olaf_vs_trundle.xlsx</v>
      </c>
      <c r="I45" s="3" t="str">
        <v>26.18 · 10.09.2026</v>
      </c>
      <c r="J45" s="3" t="str">
        <v>D</v>
      </c>
      <c r="K45" s="3" t="str">
        <v>E</v>
      </c>
      <c r="L45" s="3" t="str">
        <v>E</v>
      </c>
      <c r="M45" s="3" t="str">
        <v>Tier beibehalten. Lane D, späte Side E: AD-Verschiebung durch Q, W und R-Stat-Steal treffen Olafs langen Nahkampf direkt. Olaf muss W-Zone und R-Zeitfenster gezielt umgehen. Der deutliche Nachteil hat sowohl einen Kit-Grund als auch negative unterstützende Paarungsdaten.</v>
      </c>
    </row>
    <row r="46" ht="80" customHeight="1">
      <c r="A46" s="3" t="str">
        <v>Tryndamere</v>
      </c>
      <c r="B46" s="14" t="str">
        <v>E</v>
      </c>
      <c r="C46" s="3" t="str">
        <v>Conqueror</v>
      </c>
      <c r="D46" s="3" t="str">
        <v>Flash + Ghost</v>
      </c>
      <c r="E46" s="3" t="str">
        <v>Olaf kann vor 6 über Fury und Äxte Druck erzeugen. Danach erzwingt Tryndameres R eine Überlebensphase, die Olaf nicht mit eigener CC-Immunität auflöst. Sehr schwierig, aber mit Armor, Q-Kiting und Fury-Denial kein pauschales F.</v>
      </c>
      <c r="F46" s="3" t="str">
        <v>R fehlt, E verbraucht und wenig Fury. Nach Q-Heilung gutes kurzes Tradefenster, aber HP-Unterschied weiterhin prüfen.</v>
      </c>
      <c r="G46" s="3" t="str">
        <v>Das Duell umfasst seine Unsterblichkeitsphase und einen möglichen Re-engage. PTA-Burst kann R erzwingen, löst aber die folgende Überlebensphase nicht.</v>
      </c>
      <c r="H46" s="15" t="str">
        <v>Matchups/Olaf_vs_tryndamere.xlsx</v>
      </c>
      <c r="I46" s="3" t="str">
        <v>26.18 · 10.09.2026</v>
      </c>
      <c r="J46" s="3" t="str">
        <v>D</v>
      </c>
      <c r="K46" s="3" t="str">
        <v>E</v>
      </c>
      <c r="L46" s="3" t="str">
        <v>F</v>
      </c>
      <c r="M46" s="3" t="str">
        <v>Tier F → E. Lane D, späte Side E: Olaf kann vor 6 über Fury und Äxte Druck erzeugen. Danach erzwingt Tryndameres R eine Überlebensphase, die Olaf nicht mit eigener CC-Immunität auflöst. Sehr schwierig, aber mit Armor, Q-Kiting und Fury-Denial kein pauschales F.</v>
      </c>
    </row>
    <row r="47" ht="80" customHeight="1">
      <c r="A47" s="3" t="str">
        <v>Urgot</v>
      </c>
      <c r="B47" s="13" t="str">
        <v>A</v>
      </c>
      <c r="C47" s="3" t="str">
        <v>Conqueror</v>
      </c>
      <c r="D47" s="3" t="str">
        <v>Flash + Ghost</v>
      </c>
      <c r="E47" s="3" t="str">
        <v>Olaf-R ist eine starke Antwort auf Urgots Kontrolle und Execute-Zugriff. Nach E-Miss und auf verbrauchter Beinseite kann Olaf lange kämpfen. Urgots Level- und W-Spikes bleiben gefährlich, wenn R ausläuft.</v>
      </c>
      <c r="F47" s="3" t="str">
        <v>E verfehlt, nahe Beine abgefeuert. R fehlt; vor W-Max sind dessen Off-Phasen zusätzliche Fenster.</v>
      </c>
      <c r="G47" s="3" t="str">
        <v>W-DPS, Schild und HP führen zu langen Melee-Fights. Conqueror unterstützt mehrere E-Zyklen gegen einen Gegner, den drei Autos selten töten.</v>
      </c>
      <c r="H47" s="15" t="str">
        <v>Matchups/Olaf_vs_urgot.xlsx</v>
      </c>
      <c r="I47" s="3" t="str">
        <v>26.18 · 10.09.2026</v>
      </c>
      <c r="J47" s="3" t="str">
        <v>B</v>
      </c>
      <c r="K47" s="3" t="str">
        <v>B</v>
      </c>
      <c r="L47" s="3" t="str">
        <v>A</v>
      </c>
      <c r="M47" s="3" t="str">
        <v>Tier beibehalten. Lane B, späte Side B: Olaf-R ist eine starke Antwort auf Urgots Kontrolle und Execute-Zugriff. Nach E-Miss und auf verbrauchter Beinseite kann Olaf lange kämpfen. Urgots Level- und W-Spikes bleiben gefährlich, wenn R ausläuft.</v>
      </c>
    </row>
    <row r="48" ht="80" customHeight="1">
      <c r="A48" s="3" t="str">
        <v>Vayne</v>
      </c>
      <c r="B48" s="11" t="str">
        <v>D</v>
      </c>
      <c r="C48" s="3" t="str">
        <v>Conqueror</v>
      </c>
      <c r="D48" s="3" t="str">
        <v>Flash + Ghost</v>
      </c>
      <c r="E48" s="3" t="str">
        <v>Olaf kann über Q, Wave-Druck und R gegen Condemn frühe Vorteile erzielen. R/Q-Stealth und späterer On-hit-Schaden machen die offene Side schwieriger. Das späte Problem allein rechtfertigt kein F für die gesamte Partie.</v>
      </c>
      <c r="F48" s="3" t="str">
        <v>E fehlt, Q offensiv benutzt und R nicht verfügbar; abgeschnittener Fluchtweg oder verlässliche Teamhilfe.</v>
      </c>
      <c r="G48" s="3" t="str">
        <v>Trotz fragiler Vayne ist PTA wegen R/Q-Unterbrechungen nicht zuverlässig. Conqueror kann über Q/E und erneuten Kontakt arbeiten, ist ohne Zugriff ebenfalls kein Rettungsanker.</v>
      </c>
      <c r="H48" s="15" t="str">
        <v>Matchups/Olaf_vs_vayne.xlsx</v>
      </c>
      <c r="I48" s="3" t="str">
        <v>26.18 · 10.09.2026</v>
      </c>
      <c r="J48" s="3" t="str">
        <v>C</v>
      </c>
      <c r="K48" s="3" t="str">
        <v>E</v>
      </c>
      <c r="L48" s="3" t="str">
        <v>F</v>
      </c>
      <c r="M48" s="3" t="str">
        <v>Tier F → D. Lane C, späte Side E: Olaf kann über Q, Wave-Druck und R gegen Condemn frühe Vorteile erzielen. R/Q-Stealth und späterer On-hit-Schaden machen die offene Side schwieriger. Das späte Problem allein rechtfertigt kein F für die gesamte Partie.</v>
      </c>
    </row>
    <row r="49" ht="80" customHeight="1">
      <c r="A49" s="3" t="str">
        <v>Vladimir</v>
      </c>
      <c r="B49" s="12" t="str">
        <v>B</v>
      </c>
      <c r="C49" s="3" t="str">
        <v>PTA</v>
      </c>
      <c r="D49" s="3" t="str">
        <v>Flash + Ghost</v>
      </c>
      <c r="E49" s="3" t="str">
        <v>Nach Pool hat Olaf auf langer Lane ein klares Verfolgungsfenster. Vladimir kann R und Burst später stärker nutzen, aber sein frühes Sustain verhindert nicht jeden Druck. Pool vor der eigenen R herauszuziehen bleibt zentral.</v>
      </c>
      <c r="F49" s="3" t="str">
        <v>W verbraucht und empowered Q vorbei. R fehlt nach einem abgebrochenen All-in.</v>
      </c>
      <c r="G49" s="3" t="str">
        <v>Nach Pool-Ende ist das Killfenster kompakt und drei Autos plausibel. PTA vor frischem Pool zu erzwingen ist dagegen unzuverlässig.</v>
      </c>
      <c r="H49" s="15" t="str">
        <v>Matchups/Olaf_vs_vladimir.xlsx</v>
      </c>
      <c r="I49" s="3" t="str">
        <v>26.18 · 10.09.2026</v>
      </c>
      <c r="J49" s="3" t="str">
        <v>B</v>
      </c>
      <c r="K49" s="3" t="str">
        <v>C</v>
      </c>
      <c r="L49" s="3" t="str">
        <v>B</v>
      </c>
      <c r="M49" s="3" t="str">
        <v>Tier beibehalten. Lane B, späte Side C: Nach Pool hat Olaf auf langer Lane ein klares Verfolgungsfenster. Vladimir kann R und Burst später stärker nutzen, aber sein frühes Sustain verhindert nicht jeden Druck. Pool vor der eigenen R herauszuziehen bleibt zentral.</v>
      </c>
    </row>
    <row r="50" ht="80" customHeight="1">
      <c r="A50" s="3" t="str">
        <v>Volibear</v>
      </c>
      <c r="B50" s="12" t="str">
        <v>B</v>
      </c>
      <c r="C50" s="3" t="str">
        <v>Conqueror</v>
      </c>
      <c r="D50" s="3" t="str">
        <v>Flash + Ghost</v>
      </c>
      <c r="E50" s="3" t="str">
        <v>Vor 6 sind E-Schild und markiertes W starke Trade-Werkzeuge. Mit R und ausgewichenem E kann Olaf einen erreichbaren Gegner dauerhaft treffen und selbst lange Kämpfe gewinnen. W2 ist ein abzuwägendes Risiko, kein automatischer Rückzugsbefehl.</v>
      </c>
      <c r="F50" s="3" t="str">
        <v>E verfehlt und Schild weg; W-Markierung abgelaufen. R fehlt für Dive/HP-Flip.</v>
      </c>
      <c r="G50" s="3" t="str">
        <v>Schild, Heilung und wiederholte Nahkampfzyklen verlangen langen Schaden. Conqueror passt, sobald du ein günstiges W/E-Fenster geschaffen hast.</v>
      </c>
      <c r="H50" s="15" t="str">
        <v>Matchups/Olaf_vs_volibear.xlsx</v>
      </c>
      <c r="I50" s="3" t="str">
        <v>26.18 · 10.09.2026</v>
      </c>
      <c r="J50" s="3" t="str">
        <v>C</v>
      </c>
      <c r="K50" s="3" t="str">
        <v>B</v>
      </c>
      <c r="L50" s="3" t="str">
        <v>C</v>
      </c>
      <c r="M50" s="3" t="str">
        <v>Tier C → B. Lane C, späte Side B: Vor 6 sind E-Schild und markiertes W starke Trade-Werkzeuge. Mit R und ausgewichenem E kann Olaf einen erreichbaren Gegner dauerhaft treffen und selbst lange Kämpfe gewinnen. W2 ist ein abzuwägendes Risiko, kein automatischer Rückzugsbefehl.</v>
      </c>
    </row>
    <row r="51" ht="80" customHeight="1">
      <c r="A51" s="3" t="str">
        <v>Warwick</v>
      </c>
      <c r="B51" s="10" t="str">
        <v>C</v>
      </c>
      <c r="C51" s="3" t="str">
        <v>Conqueror</v>
      </c>
      <c r="D51" s="3" t="str">
        <v>Ghost + Ignite</v>
      </c>
      <c r="E51" s="3" t="str">
        <v>Warwicks Low-HP-Heilung macht frühe rohe Statchecks riskant. Nach E-Ende und mit R gegen Fear/Suppress besitzt Olaf einen guten längeren Kampfplan. Die frühe Gefahr wurde vorher zu stark auf das Gesamtspiel übertragen.</v>
      </c>
      <c r="F51" s="3" t="str">
        <v>E beendet, Q verbraucht, Ignite bereit und genug HP für seine Heilphase. Fehlende R senkt Burst/Fluchtoptionen.</v>
      </c>
      <c r="G51" s="3" t="str">
        <v>Mehrere Heilzyklen und E-Defensive machen das Duell lang. PTA-Burst in aktive E ist selten ein sauberer Killplan.</v>
      </c>
      <c r="H51" s="15" t="str">
        <v>Matchups/Olaf_vs_warwick.xlsx</v>
      </c>
      <c r="I51" s="3" t="str">
        <v>26.18 · 10.09.2026</v>
      </c>
      <c r="J51" s="3" t="str">
        <v>D</v>
      </c>
      <c r="K51" s="3" t="str">
        <v>B</v>
      </c>
      <c r="L51" s="3" t="str">
        <v>E</v>
      </c>
      <c r="M51" s="3" t="str">
        <v>Tier E → C. Lane D, späte Side B: Warwicks Low-HP-Heilung macht frühe rohe Statchecks riskant. Nach E-Ende und mit R gegen Fear/Suppress besitzt Olaf einen guten längeren Kampfplan. Die frühe Gefahr wurde vorher zu stark auf das Gesamtspiel übertragen.</v>
      </c>
    </row>
    <row r="52" ht="80" customHeight="1">
      <c r="A52" s="3" t="str">
        <v>Wukong</v>
      </c>
      <c r="B52" s="12" t="str">
        <v>B</v>
      </c>
      <c r="C52" s="3" t="str">
        <v>Conqueror</v>
      </c>
      <c r="D52" s="3" t="str">
        <v>Flash + Ghost</v>
      </c>
      <c r="E52" s="3" t="str">
        <v>Clone kann Kontakt unterbrechen, aber nach dessen Verbrauch kann Olaf mit R beide Knock-up-Phasen übergehen. Wukongs Team-Engage bleibt wertvoll. Kein automatischer Kill, wenn Wukong über Terrain entkommt.</v>
      </c>
      <c r="F52" s="3" t="str">
        <v>W weg und E verbraucht. Beide R-Aktivierungen beendet erleichtern den zweiten Fight.</v>
      </c>
      <c r="G52" s="3" t="str">
        <v>Clone und mehrere R-Kontakte verlängern oder unterbrechen den Fight. Conqueror über echte Q/E-Treffer nutzen, nicht PTA auf dem falschen Ziel erzwingen.</v>
      </c>
      <c r="H52" s="15" t="str">
        <v>Matchups/Olaf_vs_wukong.xlsx</v>
      </c>
      <c r="I52" s="3" t="str">
        <v>26.18 · 10.09.2026</v>
      </c>
      <c r="J52" s="3" t="str">
        <v>C</v>
      </c>
      <c r="K52" s="3" t="str">
        <v>B</v>
      </c>
      <c r="L52" s="3" t="str">
        <v>B</v>
      </c>
      <c r="M52" s="3" t="str">
        <v>Tier beibehalten. Lane C, späte Side B: Clone kann Kontakt unterbrechen, aber nach dessen Verbrauch kann Olaf mit R beide Knock-up-Phasen übergehen. Wukongs Team-Engage bleibt wertvoll. Kein automatischer Kill, wenn Wukong über Terrain entkommt.</v>
      </c>
    </row>
    <row r="53" ht="80" customHeight="1">
      <c r="A53" s="3" t="str">
        <v>Yasuo</v>
      </c>
      <c r="B53" s="12" t="str">
        <v>B</v>
      </c>
      <c r="C53" s="3" t="str">
        <v>Conqueror</v>
      </c>
      <c r="D53" s="3" t="str">
        <v>Flash + Ghost</v>
      </c>
      <c r="E53" s="3" t="str">
        <v>Olaf bedroht lange Kontakte ohne viele Dash-Minions und kann Knock-up-Setup mit R verhindern. Windwall stoppt Q und sein Crit-Spike bleibt relevant. Die Lane ist günstiger als ein spätes Duell in voller Wave.</v>
      </c>
      <c r="F53" s="3" t="str">
        <v>Windwall fehlt und keine sicheren E-Ziele. Q3 verbraucht. R-CD hilft, aber kein Ersatz für gute Waveposition.</v>
      </c>
      <c r="G53" s="3" t="str">
        <v>Schild, Dashes und Windwall verursachen mehrere Kontaktphasen. Q/E können Conqueror aufbauen; drei frühe Autos sind in voller Wave nicht garantiert.</v>
      </c>
      <c r="H53" s="15" t="str">
        <v>Matchups/Olaf_vs_yasuo.xlsx</v>
      </c>
      <c r="I53" s="3" t="str">
        <v>26.18 · 10.09.2026</v>
      </c>
      <c r="J53" s="3" t="str">
        <v>B</v>
      </c>
      <c r="K53" s="3" t="str">
        <v>C</v>
      </c>
      <c r="L53" s="3" t="str">
        <v>B</v>
      </c>
      <c r="M53" s="3" t="str">
        <v>Tier beibehalten. Lane B, späte Side C: Olaf bedroht lange Kontakte ohne viele Dash-Minions und kann Knock-up-Setup mit R verhindern. Windwall stoppt Q und sein Crit-Spike bleibt relevant. Die Lane ist günstiger als ein spätes Duell in voller Wave.</v>
      </c>
    </row>
    <row r="54" ht="80" customHeight="1">
      <c r="A54" s="3" t="str">
        <v>Yone</v>
      </c>
      <c r="B54" s="12" t="str">
        <v>B</v>
      </c>
      <c r="C54" s="3" t="str">
        <v>Conqueror</v>
      </c>
      <c r="D54" s="3" t="str">
        <v>Flash + Ghost</v>
      </c>
      <c r="E54" s="3" t="str">
        <v>Nach E-Rückkehr und verbrauchtem W kann Olaf lange Druck machen. R nimmt CC, nicht Yones verzögerten Schaden. Später entscheiden Build und Ausführung stärker als der frühe Lane-Vorteil.</v>
      </c>
      <c r="F54" s="3" t="str">
        <v>E beendet, W verbraucht, Q3 fehlt. R verfehlt/als Flucht genutzt öffnet Folgefenster.</v>
      </c>
      <c r="G54" s="3" t="str">
        <v>W-Schild und E-Re-engages verlängern das Muster. Conqueror über Q/E aufbauen, aber kein sinnloser Chase nur zum Erhalten der Stacks.</v>
      </c>
      <c r="H54" s="15" t="str">
        <v>Matchups/Olaf_vs_yone.xlsx</v>
      </c>
      <c r="I54" s="3" t="str">
        <v>26.18 · 10.09.2026</v>
      </c>
      <c r="J54" s="3" t="str">
        <v>B</v>
      </c>
      <c r="K54" s="3" t="str">
        <v>C</v>
      </c>
      <c r="L54" s="3" t="str">
        <v>B</v>
      </c>
      <c r="M54" s="3" t="str">
        <v>Tier beibehalten. Lane B, späte Side C: Nach E-Rückkehr und verbrauchtem W kann Olaf lange Druck machen. R nimmt CC, nicht Yones verzögerten Schaden. Später entscheiden Build und Ausführung stärker als der frühe Lane-Vorteil.</v>
      </c>
    </row>
    <row r="55" ht="80" customHeight="1">
      <c r="A55" s="3" t="str">
        <v>Yorick</v>
      </c>
      <c r="B55" s="11" t="str">
        <v>D</v>
      </c>
      <c r="C55" s="3" t="str">
        <v>Conqueror</v>
      </c>
      <c r="D55" s="3" t="str">
        <v>Flash + Ghost</v>
      </c>
      <c r="E55" s="3" t="str">
        <v>Olaf kann vor aufgebauten Pets Druck erzeugen. Käfig und Maiden erschweren später den direkten Zugriff, lassen aber gezieltes Pet-Management und frühe Wavekontrolle zu. Deshalb leichter statt pauschal deutlicher Gesamt-Nachteil.</v>
      </c>
      <c r="F55" s="3" t="str">
        <v>E verfehlt, W fehlt und wenige Ghouls; Maiden tot/zu weit weg. Mehrere Voraussetzungen zusammen erzeugen das echte Killfenster.</v>
      </c>
      <c r="G55" s="3" t="str">
        <v>Mehrere Ziele und lange HP-Phasen machen PTA auf Yorick allein unzuverlässig. Conqueror hilft im anschließenden Champion-Fight, ersetzt aber kein Pet-Management.</v>
      </c>
      <c r="H55" s="15" t="str">
        <v>Matchups/Olaf_vs_yorick.xlsx</v>
      </c>
      <c r="I55" s="3" t="str">
        <v>26.18 · 10.09.2026</v>
      </c>
      <c r="J55" s="3" t="str">
        <v>B</v>
      </c>
      <c r="K55" s="3" t="str">
        <v>D</v>
      </c>
      <c r="L55" s="3" t="str">
        <v>E</v>
      </c>
      <c r="M55" s="3" t="str">
        <v>Tier E → D. Lane B, späte Side D: Olaf kann vor aufgebauten Pets Druck erzeugen. Käfig und Maiden erschweren später den direkten Zugriff, lassen aber gezieltes Pet-Management und frühe Wavekontrolle zu. Deshalb leichter statt pauschal deutlicher Gesamt-Nachteil.</v>
      </c>
    </row>
    <row r="56" ht="80" customHeight="1">
      <c r="A56" s="3" t="str">
        <v>Zaahen</v>
      </c>
      <c r="B56" s="10" t="str">
        <v>C</v>
      </c>
      <c r="C56" s="3" t="str">
        <v>Conqueror</v>
      </c>
      <c r="D56" s="3" t="str">
        <v>Flash + Ghost</v>
      </c>
      <c r="E56" s="3" t="str">
        <v>Olaf hat frühe Druckfenster, bevor Zaahen volle Passive und mehrere Heilzyklen bekommt. R-Defensive und Revive verlängern spätere Duelle. Der 26.18-Q2-Buff erhöht die Unsicherheit; C ist eine vorläufige Arbeitseinschätzung.</v>
      </c>
      <c r="F56" s="3" t="str">
        <v>E und Q-Recast verbraucht, R fehlt und Passive nicht voll beziehungsweise Revive nicht bereit. Nicht allein auf niedrige sichtbare HP reagieren.</v>
      </c>
      <c r="G56" s="3" t="str">
        <v>Heilung, defensive R-Phase und gegebenenfalls zweite Lebensphase machen den Fight lang. PTA-Frontload allein deckt diese Phasen nicht ab.</v>
      </c>
      <c r="H56" s="15" t="str">
        <v>Matchups/Olaf_vs_zaahen.xlsx</v>
      </c>
      <c r="I56" s="3" t="str">
        <v>26.18 · 10.09.2026</v>
      </c>
      <c r="J56" s="3" t="str">
        <v>B</v>
      </c>
      <c r="K56" s="3" t="str">
        <v>D</v>
      </c>
      <c r="L56" s="3" t="str">
        <v>D</v>
      </c>
      <c r="M56" s="3" t="str">
        <v>Tier D → C. Lane B, späte Side D: Olaf hat frühe Druckfenster, bevor Zaahen volle Passive und mehrere Heilzyklen bekommt. R-Defensive und Revive verlängern spätere Duelle. Der 26.18-Q2-Buff erhöht die Unsicherheit; C ist eine vorläufige Arbeitseinschätzung.</v>
      </c>
    </row>
    <row r="57">
      <c r="A57" s="3"/>
      <c r="B57" s="3"/>
      <c r="C57" s="3"/>
      <c r="D57" s="3"/>
      <c r="E57" s="3"/>
      <c r="F57" s="3"/>
      <c r="G57" s="3"/>
      <c r="H57" s="3"/>
      <c r="I57" s="3"/>
      <c r="J57" s="3"/>
      <c r="K57" s="3"/>
      <c r="L57" s="3"/>
      <c r="M57" s="3"/>
    </row>
    <row r="58">
      <c r="A58" s="3"/>
      <c r="B58" s="3"/>
      <c r="C58" s="3"/>
      <c r="D58" s="3"/>
      <c r="E58" s="3"/>
      <c r="F58" s="3"/>
      <c r="G58" s="3"/>
      <c r="H58" s="3"/>
      <c r="I58" s="3"/>
      <c r="J58" s="3"/>
      <c r="K58" s="3"/>
      <c r="L58" s="3"/>
      <c r="M58" s="3"/>
    </row>
    <row r="59">
      <c r="A59" s="3"/>
      <c r="B59" s="3"/>
      <c r="C59" s="3"/>
      <c r="D59" s="3"/>
      <c r="E59" s="3"/>
      <c r="F59" s="3"/>
      <c r="G59" s="3"/>
      <c r="H59" s="3"/>
      <c r="I59" s="3"/>
      <c r="J59" s="3"/>
      <c r="K59" s="3"/>
      <c r="L59" s="3"/>
      <c r="M59" s="3"/>
    </row>
    <row r="60">
      <c r="A60" s="3"/>
      <c r="B60" s="3"/>
      <c r="C60" s="3"/>
      <c r="D60" s="3"/>
      <c r="E60" s="3"/>
      <c r="F60" s="3"/>
      <c r="G60" s="3"/>
      <c r="H60" s="3"/>
      <c r="I60" s="3"/>
      <c r="J60" s="3"/>
      <c r="K60" s="3"/>
      <c r="L60" s="3"/>
      <c r="M60" s="3"/>
    </row>
  </sheetData>
  <conditionalFormatting sqref="B6:B56">
    <cfRule type="cellIs" dxfId="0" priority="1" operator="equal">
      <formula>"Z"</formula>
    </cfRule>
    <cfRule type="cellIs" dxfId="1" priority="2" operator="equal">
      <formula>"A"</formula>
    </cfRule>
    <cfRule type="cellIs" dxfId="2" priority="3" operator="equal">
      <formula>"B"</formula>
    </cfRule>
    <cfRule type="cellIs" dxfId="3" priority="4" operator="equal">
      <formula>"C"</formula>
    </cfRule>
    <cfRule type="cellIs" dxfId="4" priority="5" operator="equal">
      <formula>"D"</formula>
    </cfRule>
    <cfRule type="cellIs" dxfId="5" priority="6" operator="equal">
      <formula>"E"</formula>
    </cfRule>
    <cfRule type="cellIs" dxfId="6" priority="7" operator="equal">
      <formula>"F"</formula>
    </cfRule>
  </conditionalFormatting>
  <hyperlinks>
    <hyperlink ref="H6" r:id="rIdMatchupLink1"/>
    <hyperlink ref="H7" r:id="rIdMatchupLink2"/>
    <hyperlink ref="H8" r:id="rIdMatchupLink3"/>
    <hyperlink ref="H9" r:id="rIdMatchupLink4"/>
    <hyperlink ref="H10" r:id="rIdMatchupLink5"/>
    <hyperlink ref="H11" r:id="rIdMatchupLink6"/>
    <hyperlink ref="H12" r:id="rIdMatchupLink7"/>
    <hyperlink ref="H13" r:id="rIdMatchupLink8"/>
    <hyperlink ref="H14" r:id="rIdMatchupLink9"/>
    <hyperlink ref="H15" r:id="rIdMatchupLink10"/>
    <hyperlink ref="H16" r:id="rIdMatchupLink11"/>
    <hyperlink ref="H17" r:id="rIdMatchupLink12"/>
    <hyperlink ref="H18" r:id="rIdMatchupLink13"/>
    <hyperlink ref="H19" r:id="rIdMatchupLink14"/>
    <hyperlink ref="H20" r:id="rIdMatchupLink15"/>
    <hyperlink ref="H21" r:id="rIdMatchupLink16"/>
    <hyperlink ref="H22" r:id="rIdMatchupLink17"/>
    <hyperlink ref="H23" r:id="rIdMatchupLink18"/>
    <hyperlink ref="H24" r:id="rIdMatchupLink19"/>
    <hyperlink ref="H25" r:id="rIdMatchupLink20"/>
    <hyperlink ref="H26" r:id="rIdMatchupLink21"/>
    <hyperlink ref="H27" r:id="rIdMatchupLink22"/>
    <hyperlink ref="H28" r:id="rIdMatchupLink23"/>
    <hyperlink ref="H29" r:id="rIdMatchupLink24"/>
    <hyperlink ref="H30" r:id="rIdMatchupLink25"/>
    <hyperlink ref="H31" r:id="rIdMatchupLink26"/>
    <hyperlink ref="H32" r:id="rIdMatchupLink27"/>
    <hyperlink ref="H33" r:id="rIdMatchupLink28"/>
    <hyperlink ref="H34" r:id="rIdMatchupLink29"/>
    <hyperlink ref="H35" r:id="rIdMatchupLink30"/>
    <hyperlink ref="H36" r:id="rIdMatchupLink31"/>
    <hyperlink ref="H37" r:id="rIdMatchupLink32"/>
    <hyperlink ref="H38" r:id="rIdMatchupLink33"/>
    <hyperlink ref="H39" r:id="rIdMatchupLink34"/>
    <hyperlink ref="H40" r:id="rIdMatchupLink35"/>
    <hyperlink ref="H41" r:id="rIdMatchupLink36"/>
    <hyperlink ref="H42" r:id="rIdMatchupLink37"/>
    <hyperlink ref="H43" r:id="rIdMatchupLink38"/>
    <hyperlink ref="H44" r:id="rIdMatchupLink39"/>
    <hyperlink ref="H45" r:id="rIdMatchupLink40"/>
    <hyperlink ref="H46" r:id="rIdMatchupLink41"/>
    <hyperlink ref="H47" r:id="rIdMatchupLink42"/>
    <hyperlink ref="H48" r:id="rIdMatchupLink43"/>
    <hyperlink ref="H49" r:id="rIdMatchupLink44"/>
    <hyperlink ref="H50" r:id="rIdMatchupLink45"/>
    <hyperlink ref="H51" r:id="rIdMatchupLink46"/>
    <hyperlink ref="H52" r:id="rIdMatchupLink47"/>
    <hyperlink ref="H53" r:id="rIdMatchupLink48"/>
    <hyperlink ref="H54" r:id="rIdMatchupLink49"/>
    <hyperlink ref="H55" r:id="rIdMatchupLink50"/>
    <hyperlink ref="H56" r:id="rIdMatchupLink51"/>
  </hyperlinks>
  <pageMargins left="0.7" right="0.7" top="0.75" bottom="0.75" header="0.3" footer="0.3"/>
  <tableParts count="1">
    <tablePart r:id="Radb667e4b0944e94"/>
  </tableParts>
</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9" hidden="0" customWidth="1"/>
    <x:col min="2" max="2" width="8" hidden="0" customWidth="1"/>
    <x:col min="3" max="3" width="65" hidden="0" customWidth="1"/>
    <x:col min="4" max="4" width="16" hidden="0" customWidth="1"/>
    <x:col min="5" max="5" width="65" hidden="0" customWidth="1"/>
    <x:col min="6" max="6" width="25" hidden="0" customWidth="1"/>
    <x:col min="7" max="7" width="25" hidden="0" customWidth="1"/>
    <x:col min="8" max="8" width="65" hidden="0" customWidth="1"/>
    <x:col min="9" max="9" width="65" hidden="0" customWidth="1"/>
    <x:col min="10" max="10" width="65" hidden="0" customWidth="1"/>
    <x:col min="11" max="11" width="65" hidden="0" customWidth="1"/>
    <x:col min="12" max="12" width="65" hidden="0" customWidth="1"/>
    <x:col min="13" max="13" width="65" hidden="0" customWidth="1"/>
    <x:col min="14" max="14" width="65" hidden="0" customWidth="1"/>
    <x:col min="15" max="15" width="65" hidden="0" customWidth="1"/>
    <x:col min="16" max="16" width="65" hidden="0" customWidth="1"/>
    <x:col min="17" max="17" width="65" hidden="0" customWidth="1"/>
    <x:col min="18" max="18" width="65" hidden="0" customWidth="1"/>
    <x:col min="19" max="19" width="65" hidden="0" customWidth="1"/>
    <x:col min="20" max="20" width="65" hidden="0" customWidth="1"/>
    <x:col min="21" max="21" width="65" hidden="0" customWidth="1"/>
    <x:col min="22" max="22" width="65" hidden="0" customWidth="1"/>
    <x:col min="23" max="23" width="18" hidden="0" customWidth="1"/>
    <x:col min="24" max="24" width="18" hidden="0" customWidth="1"/>
    <x:col min="25" max="25" width="18" hidden="0" customWidth="1"/>
    <x:col min="26" max="26" width="18" hidden="0" customWidth="1"/>
    <x:col min="27" max="27" width="18" hidden="0" customWidth="1"/>
    <x:col min="28" max="28" width="90" hidden="0" customWidth="1"/>
  </x:cols>
  <x:sheetData>
    <x:row r="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8" customHeight="1">
      <x:c r="A2" s="5" t="str">
        <x:v>Alle Matchups · vollständige Filtertabelle</x:v>
      </x:c>
      <x:c r="B2" s="3"/>
      <x:c r="C2" s="3"/>
      <x:c r="D2" s="3"/>
      <x:c r="E2" s="3"/>
      <x:c r="F2" s="3"/>
      <x:c r="G2" s="3"/>
      <x:c r="H2" s="3"/>
      <x:c r="I2" s="3"/>
      <x:c r="J2" s="3"/>
      <x:c r="K2" s="3"/>
      <x:c r="L2" s="3"/>
      <x:c r="M2" s="3"/>
      <x:c r="N2" s="3"/>
      <x:c r="O2" s="3"/>
      <x:c r="P2" s="3"/>
      <x:c r="Q2" s="3"/>
      <x:c r="R2" s="3"/>
      <x:c r="S2" s="3"/>
      <x:c r="T2" s="3"/>
      <x:c r="U2" s="3"/>
      <x:c r="V2" s="3"/>
      <x:c r="W2" s="3"/>
      <x:c r="X2" s="3"/>
      <x:c r="Y2" s="3"/>
      <x:c r="Z2" s="3"/>
      <x:c r="AA2" s="3"/>
      <x:c r="AB2" s="3"/>
    </x:row>
    <x:row r="3">
      <x:c r="A3" s="3"/>
      <x:c r="B3" s="3"/>
      <x:c r="C3" s="3"/>
      <x:c r="D3" s="3"/>
      <x:c r="E3" s="3"/>
      <x:c r="F3" s="3"/>
      <x:c r="G3" s="3"/>
      <x:c r="H3" s="3"/>
      <x:c r="I3" s="3"/>
      <x:c r="J3" s="3"/>
      <x:c r="K3" s="3"/>
      <x:c r="L3" s="3"/>
      <x:c r="M3" s="3"/>
      <x:c r="N3" s="3"/>
      <x:c r="O3" s="3"/>
      <x:c r="P3" s="3"/>
      <x:c r="Q3" s="3"/>
      <x:c r="R3" s="3"/>
      <x:c r="S3" s="3"/>
      <x:c r="T3" s="3"/>
      <x:c r="U3" s="3"/>
      <x:c r="V3" s="3"/>
      <x:c r="W3" s="3"/>
      <x:c r="X3" s="3"/>
      <x:c r="Y3" s="3"/>
      <x:c r="Z3" s="3"/>
      <x:c r="AA3" s="3"/>
      <x:c r="AB3" s="3"/>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row>
    <x:row r="5" ht="34" customHeight="1">
      <x:c r="A5" s="9" t="str">
        <x:v>1 · Champion</x:v>
      </x:c>
      <x:c r="B5" s="9" t="str">
        <x:v>2 · Tier</x:v>
      </x:c>
      <x:c r="C5" s="9" t="str">
        <x:v>3 · Tier-Begründung</x:v>
      </x:c>
      <x:c r="D5" s="9" t="str">
        <x:v>4 · Keystone</x:v>
      </x:c>
      <x:c r="E5" s="9" t="str">
        <x:v>5 · Rune: Fight Pattern</x:v>
      </x:c>
      <x:c r="F5" s="9" t="str">
        <x:v>6 · Startitem</x:v>
      </x:c>
      <x:c r="G5" s="9" t="str">
        <x:v>7 · Summoner Spells</x:v>
      </x:c>
      <x:c r="H5" s="9" t="str">
        <x:v>8 · Frühe Boots</x:v>
      </x:c>
      <x:c r="I5" s="9" t="str">
        <x:v>9 · Level 1</x:v>
      </x:c>
      <x:c r="J5" s="9" t="str">
        <x:v>10 · Level 2–5</x:v>
      </x:c>
      <x:c r="K5" s="9" t="str">
        <x:v>11 · Ab Level 6</x:v>
      </x:c>
      <x:c r="L5" s="9" t="str">
        <x:v>12 · Gefährliche Fähigkeiten</x:v>
      </x:c>
      <x:c r="M5" s="9" t="str">
        <x:v>13 · Kill Window</x:v>
      </x:c>
      <x:c r="N5" s="9" t="str">
        <x:v>14 · Unbedingt vermeiden</x:v>
      </x:c>
      <x:c r="O5" s="9" t="str">
        <x:v>15 · Wave-Management</x:v>
      </x:c>
      <x:c r="P5" s="9" t="str">
        <x:v>16 · Trading Pattern</x:v>
      </x:c>
      <x:c r="Q5" s="9" t="str">
        <x:v>17 · Erste 1–2 Items</x:v>
      </x:c>
      <x:c r="R5" s="9" t="str">
        <x:v>18 · Situative Items</x:v>
      </x:c>
      <x:c r="S5" s="9" t="str">
        <x:v>19 · Side bei 1/2/3 Items</x:v>
      </x:c>
      <x:c r="T5" s="9" t="str">
        <x:v>20 · Gameplan</x:v>
      </x:c>
      <x:c r="U5" s="9" t="str">
        <x:v>Comp Override</x:v>
      </x:c>
      <x:c r="V5" s="9" t="str">
        <x:v>Unsicherheit</x:v>
      </x:c>
      <x:c r="W5" s="9" t="str">
        <x:v>Patch</x:v>
      </x:c>
      <x:c r="X5" s="9" t="str">
        <x:v>Geprüft am</x:v>
      </x:c>
      <x:c r="Y5" s="9" t="str">
        <x:v>Lane-Tier</x:v>
      </x:c>
      <x:c r="Z5" s="9" t="str">
        <x:v>Späte Side</x:v>
      </x:c>
      <x:c r="AA5" s="9" t="str">
        <x:v>Bisheriges Tier</x:v>
      </x:c>
      <x:c r="AB5" s="9" t="str">
        <x:v>Revision</x:v>
      </x:c>
    </x:row>
    <x:row r="6" ht="145" customHeight="1">
      <x:c r="A6" s="3" t="str">
        <x:v>Aatrox</x:v>
      </x:c>
      <x:c r="B6" s="3" t="str">
        <x:v>C</x:v>
      </x:c>
      <x:c r="C6" s="3" t="str">
        <x:v>Q-Abstand und E-Repositionierung gegen Olafs R-All-in ergeben ein beidseitig spielbares Matchup. Nach verfehlten Sweetspots hat Olaf echte Killfenster; gegen sauberes Spacing ist ein genereller Vorteil nicht ausreichend begründet.</x:v>
      </x:c>
      <x:c r="D6" s="3" t="str">
        <x:v>Conqueror</x:v>
      </x:c>
      <x:c r="E6" s="3" t="str">
        <x:v>Mehrere Q-Rotationen und Aatrox-R-Heilung verlängern den Kampf. Conqueror belohnt Olafs fortgesetzte Autos und E-Zyklen stärker als einen erzwungenen Dreiertrade.</x:v>
      </x:c>
      <x:c r="F6" s="3" t="str">
        <x:v>Doran’s Blade + Health Potion</x:v>
      </x:c>
      <x:c r="G6" s="3" t="str">
        <x:v>Flash + Ghost</x:v>
      </x:c>
      <x:c r="H6" s="3" t="str">
        <x:v>Plated Steelcaps bei ausgeglichener Lane.</x:v>
      </x:c>
      <x:c r="I6" s="3" t="str">
        <x:v>Olaf bei treffenden, aufhebbaren Äxten. Q1 ausweichen und danach Platz beanspruchen. Nicht alle drei Sweetspots tanken, um einen Axe-Reset zu erzwingen.</x:v>
      </x:c>
      <x:c r="J6" s="3" t="str">
        <x:v>Nach Q3 oder offensiv verbrauchtem E anlaufen. Bis dahin Q-Poke seitlich zur Wave. W nach eingehendem Schaden benutzen, ohne in Q3-Burst zu fallen.</x:v>
      </x:c>
      <x:c r="K6" s="3" t="str">
        <x:v>R nimmt Knock-ups und W-Rückzug als zuverlässige Unterbrechung. Aatrox-R erhöht trotzdem Sustain und Fluchttempo. Nur bei erreichbarem Kontakt committen.</x:v>
      </x:c>
      <x:c r="L6" s="3" t="str">
        <x:v>Q-Sweetspots, E-Repositionierung, W-Zone, R-Heilung.</x:v>
      </x:c>
      <x:c r="M6" s="3" t="str">
        <x:v>Q-Kette beendet und E verbraucht. Nach seinem R-Ende erneut Druck. W verfehlt erleichtert den langen Chase vor 6.</x:v>
      </x:c>
      <x:c r="N6" s="3" t="str">
        <x:v>Geradlinig durch Q1–Q3 laufen. R aus zu großer Entfernung starten. Einen Aatrox mit laufender R in unbekannten Jungle verfolgen.</x:v>
      </x:c>
      <x:c r="O6" s="3" t="str">
        <x:v>Früh kontrollierter Slowpush, Crash nur vollständig. Cheater-Recall bei freiem Crash möglich. Danach Bounce auf eigener Seite halten, damit seine E nicht bis zum Turm reicht.</x:v>
      </x:c>
      <x:c r="P6" s="3" t="str">
        <x:v>Q treffen, Q-Sweetspot seitlich umgehen, nach E an seine Nahseite laufen. Auto–W–Auto, E zwischen Autos, kurze Äxte auf den Fluchtweg. Bei Aatrox-R nur fortsetzen, wenn W und HP reichen.</x:v>
      </x:c>
      <x:c r="Q6" s="3" t="str">
        <x:v>Ravenous Hydra für Sustain zwischen Q-Trades, danach Death’s Dance gegen AD. Stridebreaker statt Hydra, wenn sein Spacing und die Comp den Kontakt zum Hauptproblem machen.</x:v>
      </x:c>
      <x:c r="R6" s="3" t="str">
        <x:v>Executioner’s Calling vor einem entscheidenden All-in, wenn Heilung den Kill verhindert. Sterak’s gegen Burst. Maw bei zusätzlicher AP-Gefahr statt Sterak’s.</x:v>
      </x:c>
      <x:c r="S6" s="3" t="str">
        <x:v>1 Item: Hydra ermöglicht wiederholte Versuche, kein Freipass gegen seine R. 2 Items: mit R und Death’s Dance oft gute Duelle. 3 Items: stark von Antiheal und Aatrox-Build abhängig. Sein Teamfight kann trotz verlorener Side relevant bleiben.</x:v>
      </x:c>
      <x:c r="T6" s="3" t="str">
        <x:v>Spiele um Q3 und E, statt den ersten Treffer erzwingen zu wollen. Halte den Rückweg lang und starte R erst mit realistischem Auto-Kontakt. Ein sauberer Reset ist besser als ein Chase durch seine komplette R.</x:v>
      </x:c>
      <x:c r="U6" s="3" t="str">
        <x:v>PTA, wenn Aatrox nur gehalten werden muss und vier fragile Gegner kurze Picks begünstigen. Conqueror behalten, wenn du seine Heilung auf der Side überwinden musst.</x:v>
      </x:c>
      <x:c r="V6"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6" s="3" t="str">
        <x:v>26.18</x:v>
      </x:c>
      <x:c r="X6" s="3" t="str">
        <x:v>10.09.2026</x:v>
      </x:c>
      <x:c r="Y6" s="3" t="str">
        <x:v>C</x:v>
      </x:c>
      <x:c r="Z6" s="3" t="str">
        <x:v>C</x:v>
      </x:c>
      <x:c r="AA6" s="3" t="str">
        <x:v>B</x:v>
      </x:c>
      <x:c r="AB6" s="3" t="str">
        <x:v>Tier B → C. Lane C, späte Side C: Q-Abstand und E-Repositionierung gegen Olafs R-All-in ergeben ein beidseitig spielbares Matchup. Nach verfehlten Sweetspots hat Olaf echte Killfenster; gegen sauberes Spacing ist ein genereller Vorteil nicht ausreichend begründet.</x:v>
      </x:c>
    </x:row>
    <x:row r="7" ht="145" customHeight="1">
      <x:c r="A7" s="3" t="str">
        <x:v>Akali</x:v>
      </x:c>
      <x:c r="B7" s="3" t="str">
        <x:v>D</x:v>
      </x:c>
      <x:c r="C7" s="3" t="str">
        <x:v>Shroud erschwert Kills und R-Verlängerung, macht Olaf aber nicht automatisch zum Verlierer der Lane. Waveclear und Sustain erlauben Druck ohne Solokill. Leichter Nachteil durch ihre Kontrolle über Kontakt und Carry-Zugriff.</x:v>
      </x:c>
      <x:c r="D7" s="3" t="str">
        <x:v>Conqueror</x:v>
      </x:c>
      <x:c r="E7" s="3" t="str">
        <x:v>Q und E können Conqueror vorbereiten, während PTA vor drei Autos durch Shroud unterbrochen wird. Auch Conqueror ist während vollständigem Disengage wertlos. Kein Zwangs-All-in für die Rune.</x:v>
      </x:c>
      <x:c r="F7" s="3" t="str">
        <x:v>Doran’s Shield + Health Potion</x:v>
      </x:c>
      <x:c r="G7" s="3" t="str">
        <x:v>Flash + Teleport</x:v>
      </x:c>
      <x:c r="H7" s="3" t="str">
        <x:v>Frühe Boots zum Q-Dodgen. Mercury’s Treads nur bei zusätzlichem Wert gegen AP/CC.</x:v>
      </x:c>
      <x:c r="I7" s="3" t="str">
        <x:v>Olaf im durchgehenden Kontakt. Akali gewinnt einzelne Q–Passive-Trades. Nach ihrem Q seitlich vorrücken, nicht für eine Axt in den nächsten verstärkten Auto laufen.</x:v>
      </x:c>
      <x:c r="J7" s="3" t="str">
        <x:v>W herauslocken und verlassen. Nach Shroud-Ende bei fehlendem E oder wenig Energie Druck. E1 durch Minions erschweren. Lange Trades nur, wenn sie keinen sicheren Rückzug hat.</x:v>
      </x:c>
      <x:c r="K7" s="3" t="str">
        <x:v>Ihre R liefert zwei zusätzliche Bewegungen und Execute-Druck. Olaf-R deckt Unsichtbarkeit nicht auf. R erst nach W oder wenn ein sicherer Kill vor dem Verschwinden besteht.</x:v>
      </x:c>
      <x:c r="L7" s="3" t="str">
        <x:v>W-Shroud, E1-Markierung/E2, R2-Execute, Q–Passive-Reichweite.</x:v>
      </x:c>
      <x:c r="M7" s="3" t="str">
        <x:v>W beendet plus E verbraucht/verfehlt. R auf Cooldown senkt Flucht- und Burstpotenzial. Ein einzelnes verfehltes Q reicht meist nicht.</x:v>
      </x:c>
      <x:c r="N7" s="3" t="str">
        <x:v>R in frischen Shroud starten. Sweeper als True Sight behandeln. Auf sehr wenig HP gegen verfügbares R2 mit späterem W spekulieren.</x:v>
      </x:c>
      <x:c r="O7" s="3" t="str">
        <x:v>Wave auf eigener Seite, aber vor dem Turm ausdünnen. TP für schlechte Resets. Nach W-Verbrauch einen Crash vorbereiten. Tiamat nicht kaufen, wenn der Freeze deine einzige Druckquelle ist.</x:v>
      </x:c>
      <x:c r="P7" s="3" t="str">
        <x:v>Q aus sicherem Winkel, kurzen Auto–E-Trade nehmen, wenn sichtbar. W provozieren, aus Shroud-Reichweite zurück. Zweiter Anlauf nach W mit Q–Auto–W–Auto und R erst bei dauerhaftem Kontakt.</x:v>
      </x:c>
      <x:c r="Q7" s="3" t="str">
        <x:v>Ravenous Hydra für Waveclear und Rückheilung. Hexdrinker früh bei Killgefahr, danach Maw of Malmortius als zweites Item gegen AP-Burst.</x:v>
      </x:c>
      <x:c r="R7" s="3" t="str">
        <x:v>Force of Nature bei mehreren dauerhaften AP-Quellen. Sterak’s nur ohne Maw. Kein früher Kritlaf: zusätzliche Crit-Chance löst fehlende Zielbarkeit nicht.</x:v>
      </x:c>
      <x:c r="S7" s="3" t="str">
        <x:v>1 Item: Hydra stabilisiert die Lane, Gunblade/Burst respektieren. 2 Items: mit Maw schwerer zu töten, Akali aber weiter schwer festzuhalten. 3 Items: Side drücken und Antworten erzwingen, keine garantierten Solokills. Ihr Zugriff auf Carries bleibt stärker als ihr Turmschaden.</x:v>
      </x:c>
      <x:c r="T7" s="3" t="str">
        <x:v>Behandle Shroud als Stoppsignal. Farm sicher, erzwinge ihren W-Cooldown und greife erst im zweiten Anlauf an. Bewahre ausreichend HP für R2 und nutze TP, damit ein schlechter Trade nicht zwei Waves kostet.</x:v>
      </x:c>
      <x:c r="U7" s="3" t="str">
        <x:v>PTA nur bei klarer Rolle als Diver gegen andere Gegner mit zuverlässig drei Autos. Der Rune-Wechsel beseitigt Akalis Uptime-Problem nicht.</x:v>
      </x:c>
      <x:c r="V7"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7" s="3" t="str">
        <x:v>26.18</x:v>
      </x:c>
      <x:c r="X7" s="3" t="str">
        <x:v>10.09.2026</x:v>
      </x:c>
      <x:c r="Y7" s="3" t="str">
        <x:v>C</x:v>
      </x:c>
      <x:c r="Z7" s="3" t="str">
        <x:v>D</x:v>
      </x:c>
      <x:c r="AA7" s="3" t="str">
        <x:v>E</x:v>
      </x:c>
      <x:c r="AB7" s="3" t="str">
        <x:v>Tier E → D. Lane C, späte Side D: Shroud erschwert Kills und R-Verlängerung, macht Olaf aber nicht automatisch zum Verlierer der Lane. Waveclear und Sustain erlauben Druck ohne Solokill. Leichter Nachteil durch ihre Kontrolle über Kontakt und Carry-Zugriff.</x:v>
      </x:c>
    </x:row>
    <x:row r="8" ht="145" customHeight="1">
      <x:c r="A8" s="3" t="str">
        <x:v>Ambessa</x:v>
      </x:c>
      <x:c r="B8" s="3" t="str">
        <x:v>C</x:v>
      </x:c>
      <x:c r="C8" s="3" t="str">
        <x:v>Olaf kann frühe Energie-Autos bestrafen und ihren CC mit R übergehen. Ihre Dashes und spätere Heilung erschweren das Verfolgen, rechtfertigen aber keinen pauschalen Nachteil schon ab Lane-Beginn.</x:v>
      </x:c>
      <x:c r="D8" s="3" t="str">
        <x:v>Conqueror</x:v>
      </x:c>
      <x:c r="E8" s="3" t="str">
        <x:v>W-Schild und mehrere Re-engages verhindern ein verlässlich kurzes Killfenster. Conqueror passt zum Kampf über mehrere Energie- und Spell-Zyklen.</x:v>
      </x:c>
      <x:c r="F8" s="3" t="str">
        <x:v>Doran’s Blade + Health Potion</x:v>
      </x:c>
      <x:c r="G8" s="3" t="str">
        <x:v>Flash + Ghost</x:v>
      </x:c>
      <x:c r="H8" s="3" t="str">
        <x:v>Plated Steelcaps, falls ihre Auto-Weaves und AD-Trades dich drücken.</x:v>
      </x:c>
      <x:c r="I8" s="3" t="str">
        <x:v>Olaf bei Kontakt nach verfehltem Q-Sweetspot. Abstand zum Q-Rand halten und nicht eine weit entfernte Axt durch ihre komplette Q-Sequenz verfolgen.</x:v>
      </x:c>
      <x:c r="J8" s="3" t="str">
        <x:v>Nach W-Schildablauf oder verfehltem Q1 Druck. Sie braucht passive Autos für Energie. Diese Kontaktmomente bestrafen, statt jeden Dash zu verfolgen.</x:v>
      </x:c>
      <x:c r="K8" s="3" t="str">
        <x:v>R verhindert ihren CC als Lockdown, nicht Schaden oder ihre Dashes. Ambessas R-Sustain/Penetration erhöht ihre Kampfstärke. R spät starten und Fluchtweg mit Ghost schließen.</x:v>
      </x:c>
      <x:c r="L8" s="3" t="str">
        <x:v>Q-Rand und Folgeschlag, W-Schild, passive Dashes/Autos, R.</x:v>
      </x:c>
      <x:c r="M8" s="3" t="str">
        <x:v>W verbraucht, niedrige Energie und kein guter Auto-Zugang. Nach verfehlter R kann sie keinen erneuten Fernengage erzwingen.</x:v>
      </x:c>
      <x:c r="N8" s="3" t="str">
        <x:v>W-Schild mit vollem Burst beschießen. R im Anlauf verbrauchen. Dash-Distanz mit tatsächlichem Cooldown eines Spells verwechseln.</x:v>
      </x:c>
      <x:c r="O8" s="3" t="str">
        <x:v>Bounce auf eigener Seite. Slowpush nur bei HP-Vorteil, damit sie beim Last-Hitten in Kontakt kommt. Kein halber Crash gegen ihre mobile All-in-Drohung.</x:v>
      </x:c>
      <x:c r="P8" s="3" t="str">
        <x:v>Q treffen, Dash-Endpunkt anlaufen, Schild auslaufen lassen. Auto–W–Auto–E nach ihrem passiven Auto. Mit kurzen Qs nachsetzen, R bei nächstem sicheren Kontakt oder drohendem CC.</x:v>
      </x:c>
      <x:c r="Q8" s="3" t="str">
        <x:v>Ravenous Hydra gegen wiederholte kurze Trades, dann Death’s Dance. Stridebreaker als erste Alternative, wenn Kontakt längerfristig nicht gelingt.</x:v>
      </x:c>
      <x:c r="R8" s="3" t="str">
        <x:v>Executioner’s bei relevanter Heilung. Sterak’s gegen gemischten Burst. Kein früher Crit-Ausbau ohne geklärte Auto-Uptime.</x:v>
      </x:c>
      <x:c r="S8" s="3" t="str">
        <x:v>1 Item: Hydra hält HP stabil, ihr erster Bruiser-Spike bleibt gefährlich. 2 Items: ausgeführte Dashes/W-Timing entscheiden. 3 Items: eher Ambessa bei gleichen Ressourcen, wenn sie mehrfach disengagen kann. Gemeinsame Kämpfe über Flanken vorbereiten.</x:v>
      </x:c>
      <x:c r="T8" s="3" t="str">
        <x:v>Warte auf W und bestrafe ihre Energie-Autos. Miss deine Chance an erreichbarem Kontakt, nicht an getroffenen Äxten allein. Bei gleich gutem Spiel musst du ihre Mobilität stärker respektieren als den CC.</x:v>
      </x:c>
      <x:c r="U8" s="3" t="str">
        <x:v>PTA bei fragiler Backline und vorbereitetem Engage durch dein Team. Gegen Ambessa plus weitere Melees Conqueror halten.</x:v>
      </x:c>
      <x:c r="V8"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8" s="3" t="str">
        <x:v>26.18</x:v>
      </x:c>
      <x:c r="X8" s="3" t="str">
        <x:v>10.09.2026</x:v>
      </x:c>
      <x:c r="Y8" s="3" t="str">
        <x:v>B</x:v>
      </x:c>
      <x:c r="Z8" s="3" t="str">
        <x:v>D</x:v>
      </x:c>
      <x:c r="AA8" s="3" t="str">
        <x:v>D</x:v>
      </x:c>
      <x:c r="AB8" s="3" t="str">
        <x:v>Tier D → C. Lane B, späte Side D: Olaf kann frühe Energie-Autos bestrafen und ihren CC mit R übergehen. Ihre Dashes und spätere Heilung erschweren das Verfolgen, rechtfertigen aber keinen pauschalen Nachteil schon ab Lane-Beginn.</x:v>
      </x:c>
    </x:row>
    <x:row r="9" ht="145" customHeight="1">
      <x:c r="A9" s="3" t="str">
        <x:v>Camille</x:v>
      </x:c>
      <x:c r="B9" s="3" t="str">
        <x:v>D</x:v>
      </x:c>
      <x:c r="C9" s="3" t="str">
        <x:v>Früh kann Olaf nach Schild und Hookshot lange Trades erzwingen. Später bestimmen Q2, kurze Trades und Terrain-Flucht viele Duelle. Der Gesamt-Nachteil ist real, aber die frühe Druckphase wurde zuvor zu wenig gewichtet.</x:v>
      </x:c>
      <x:c r="D9" s="3" t="str">
        <x:v>Conqueror</x:v>
      </x:c>
      <x:c r="E9" s="3" t="str">
        <x:v>Ihr Schild nimmt dem kurzen Auto-Fenster Wert. Conqueror passt zum nötigen zweiten Anlauf nach Schild/E. PTA nur bei tatsächlich festgehaltener Camille.</x:v>
      </x:c>
      <x:c r="F9" s="3" t="str">
        <x:v>Doran’s Blade + Health Potion</x:v>
      </x:c>
      <x:c r="G9" s="3" t="str">
        <x:v>Flash + Ghost</x:v>
      </x:c>
      <x:c r="H9" s="3" t="str">
        <x:v>Plated Steelcaps für Autos und frühe Qs. Sie lösen späteren True Damage nicht.</x:v>
      </x:c>
      <x:c r="I9" s="3" t="str">
        <x:v>Olaf im langen Fight, Camille im Schildtrade. Passive zuerst auslösen, zurücktreten und nach Schildende mit Q erneut Druck. Nicht Q2 gratis nehmen.</x:v>
      </x:c>
      <x:c r="J9" s="3" t="str">
        <x:v>E zum Trade verbraucht: hinterher, sobald Schild weg ist. Q2-Vorbereitung erkennen. W-Außenrand vermeiden oder innen stehen, wenn ein sicherer Kontakt möglich ist.</x:v>
      </x:c>
      <x:c r="K9" s="3" t="str">
        <x:v>Olaf-R verhindert Hookshot-Stun, nicht die R-Arena. Camille kann mit R kurz untargetable werden und E/Q ausweichen. E nicht blind beim R-Cast verwenden.</x:v>
      </x:c>
      <x:c r="L9" s="3" t="str">
        <x:v>Passiv-Schild, verzögertes Q2, E-Hookshot, R-Unzielbarkeit/Arena.</x:v>
      </x:c>
      <x:c r="M9" s="3" t="str">
        <x:v>E und Passive gleichzeitig nicht verfügbar. Nach Q2 in Minions fehlt kurzfristig ihr stärkster Trade. Verbleibende R trotzdem einkalkulieren.</x:v>
      </x:c>
      <x:c r="N9" s="3" t="str">
        <x:v>Jeden Q2-Trade beantworten wollen. Nahe Wand ohne R stehen. Annehmen, dass Ragnarok aus ihrer Arena herauslaufen lässt.</x:v>
      </x:c>
      <x:c r="O9" s="3" t="str">
        <x:v>Früh Slowpush und sauber crashen. Danach Freeze/kleiner Gegnerüberschuss auf eigener Seite. Auf lange Lane achten, aber Gankwinkel an Wänden ward-en.</x:v>
      </x:c>
      <x:c r="P9" s="3" t="str">
        <x:v>Passive mit kleinem Trade auslösen. Nach E-Verbrauch Q, an ihr bleiben, Auto–W–Auto. E nach ihrem Schild und nach der R-Unzielbarkeit einsetzen. Q2 mit W abfangen, wenn du nicht ausweichen kannst.</x:v>
      </x:c>
      <x:c r="Q9" s="3" t="str">
        <x:v>Ravenous Hydra für Sustain und Waveclear, danach Death’s Dance gegen physischen Anteil. Stridebreaker bei realistischem Chase statt Hydra. Gegen viel True Damage HP/Schild stärker gewichten.</x:v>
      </x:c>
      <x:c r="R9" s="3" t="str">
        <x:v>Sterak’s für gemischten Burst/Q2-Puffer. Hullbreaker nur für Turmdruck, wenn Camille nicht frei duellieren kann. Armor allein ist kein Lategame-Counter.</x:v>
      </x:c>
      <x:c r="S9" s="3" t="str">
        <x:v>1 Item: ihre Sheen-Spikes respektieren, Olaf braucht langen Fight. 2 Items: Camille kontrolliert oft Trade-Länge. 3 Items: Side eher ungünstig, besonders mit häufigem Q2. Pushfenster nutzen und rotieren, statt jeden Turm im 1v1 erzwingen.</x:v>
      </x:c>
      <x:c r="T9" s="3" t="str">
        <x:v>Brich den ersten Schildtrade ab und greife nach ihrem E erneut an. Halte die Wave nah genug, dass sie für Farm vorlaufen muss. Plane später um ihre Q2-Fenster und vermeide einen erzwungenen Side-Statcheck.</x:v>
      </x:c>
      <x:c r="U9" s="3" t="str">
        <x:v>PTA, wenn du Camille über Waveclear hältst und im Gesamtspiel auf kurze Carry-Kills gehst. Für echte Side-Duelle bleibt Conqueror sinnvoller.</x:v>
      </x:c>
      <x:c r="V9"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9" s="3" t="str">
        <x:v>26.18</x:v>
      </x:c>
      <x:c r="X9" s="3" t="str">
        <x:v>10.09.2026</x:v>
      </x:c>
      <x:c r="Y9" s="3" t="str">
        <x:v>B</x:v>
      </x:c>
      <x:c r="Z9" s="3" t="str">
        <x:v>E</x:v>
      </x:c>
      <x:c r="AA9" s="3" t="str">
        <x:v>E</x:v>
      </x:c>
      <x:c r="AB9" s="3" t="str">
        <x:v>Tier E → D. Lane B, späte Side E: Früh kann Olaf nach Schild und Hookshot lange Trades erzwingen. Später bestimmen Q2, kurze Trades und Terrain-Flucht viele Duelle. Der Gesamt-Nachteil ist real, aber die frühe Druckphase wurde zuvor zu wenig gewichtet.</x:v>
      </x:c>
    </x:row>
    <x:row r="10" ht="145" customHeight="1">
      <x:c r="A10" s="3" t="str">
        <x:v>Cho’Gath</x:v>
      </x:c>
      <x:c r="B10" s="3" t="str">
        <x:v>B</x:v>
      </x:c>
      <x:c r="C10" s="3" t="str">
        <x:v>Olaf kann den immobilen Cho nach verfehltem Q lange treffen. Feast zwingt zu früherem W und begrenzt Low-HP-Spiel. Gute Drucklane, aber AP-Burst und späterer Objective-Wert verhindern eine extreme Bewertung.</x:v>
      </x:c>
      <x:c r="D10" s="3" t="str">
        <x:v>Conqueror</x:v>
      </x:c>
      <x:c r="E10" s="3" t="str">
        <x:v>Hohe effektive HP verlangen mehrere Q/E-Zyklen. Gegen AP-Cho kann PTA nach verfehltem Q sinnvoll sein, sofern er tatsächlich in drei Autos erreichbar bleibt.</x:v>
      </x:c>
      <x:c r="F10" s="3" t="str">
        <x:v>Doran’s Blade + Health Potion</x:v>
      </x:c>
      <x:c r="G10" s="3" t="str">
        <x:v>Flash + Ghost</x:v>
      </x:c>
      <x:c r="H10" s="3" t="str">
        <x:v>Frühe Boots zum Q-Ausweichen. Mercury’s nur bei AP/CC-Comp.</x:v>
      </x:c>
      <x:c r="I10" s="3" t="str">
        <x:v>Olaf bei Q-Reset-Chase. Cho mit E-Start nicht drei verstärkte Autos gratis geben. Patch 26.17 verstärkt genau diese frühen E-Treffer.</x:v>
      </x:c>
      <x:c r="J10" s="3" t="str">
        <x:v>Nach verfehltem Q ansetzen. Außerhalb der Minionlinie stehen, damit E nicht gleichzeitig farmt und pokt. Seine Passive durch Wegzonen von Last-Hits begrenzen.</x:v>
      </x:c>
      <x:c r="K10" s="3" t="str">
        <x:v>R nimmt Q/W-CC den Stoppeffekt. Feast bleibt True-Damage-Burst: W vor der Killgrenze, nicht erst in kritischem HP-Bereich. AP-Build deutlich burstiger als Tank.</x:v>
      </x:c>
      <x:c r="L10" s="3" t="str">
        <x:v>Q-Knock-up, W-Silence, E-Autofolge, R-Feast.</x:v>
      </x:c>
      <x:c r="M10" s="3" t="str">
        <x:v>Q verfehlt und W bereits verbraucht. R auf Minion/Objective benutzt schafft ein sichereres Low-HP-Fenster.</x:v>
      </x:c>
      <x:c r="N10" s="3" t="str">
        <x:v>Olaf-Passive über Feast-Sicherheit stellen. AP- und Tank-Cho gleich itemisieren. Lange Trades in großem Minionüberschuss.</x:v>
      </x:c>
      <x:c r="O10" s="3" t="str">
        <x:v>Slowpush/Crash früh möglich. Danach auf eigener Seite zonen und Last-Hits verweigern. Freeze aufgeben, wenn seine Q/E-Waveclear einen sauberen Crash erzwingt.</x:v>
      </x:c>
      <x:c r="P10" s="3" t="str">
        <x:v>Q ausweichen, eigene Q treffen, seitlich der E-Kegel bleiben. Auto–W–Auto und E wiederholen. W gegen seine absehbare Burstfolge reservieren, wenn R bereit ist.</x:v>
      </x:c>
      <x:c r="Q10" s="3" t="str">
        <x:v>Ravenous Hydra, danach Black Cleaver gegen Armor. Gegen HP ohne viel Armor ist Blade of the Ruined King eine offensive Alternative. AP-Cho: Hexdrinker/Maw priorisieren.</x:v>
      </x:c>
      <x:c r="R10" s="3" t="str">
        <x:v>Sterak’s gegen Feast plus Folgeschaden. MR gegen AP-Burst. Antiheal nicht allein wegen kleiner Passive-Heals vor dem Core erzwingen.</x:v>
      </x:c>
      <x:c r="S10" s="3" t="str">
        <x:v>1 Item: Olaf kann bei Q-Miss Druck machen. 2 Items: Armor- und HP-Build bestimmen Cleaver/BORK-Wert. 3 Items: killbar bei anhaltendem Kontakt, aber langsam. Cho bleibt als Frontline und Objective-Execute nützlich.</x:v>
      </x:c>
      <x:c r="T10" s="3" t="str">
        <x:v>Nutze verfehltes Q für lange Trades und verweigere sichere Last-Hits. R macht dich nicht immun gegen Feast. Schilde rechtzeitig und passe das zweite Item an seine tatsächlichen Defensivwerte an.</x:v>
      </x:c>
      <x:c r="U10" s="3" t="str">
        <x:v>PTA gegen AP-Cho mit kurzem Killfenster oder vier fragile Gegner. Conqueror, wenn Cho die Frontline ist, die du wirklich durchkämpfen musst.</x:v>
      </x:c>
      <x:c r="V10"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0" s="3" t="str">
        <x:v>26.18</x:v>
      </x:c>
      <x:c r="X10" s="3" t="str">
        <x:v>10.09.2026</x:v>
      </x:c>
      <x:c r="Y10" s="3" t="str">
        <x:v>B</x:v>
      </x:c>
      <x:c r="Z10" s="3" t="str">
        <x:v>B</x:v>
      </x:c>
      <x:c r="AA10" s="3" t="str">
        <x:v>B</x:v>
      </x:c>
      <x:c r="AB10" s="3" t="str">
        <x:v>Tier beibehalten. Lane B, späte Side B: Olaf kann den immobilen Cho nach verfehltem Q lange treffen. Feast zwingt zu früherem W und begrenzt Low-HP-Spiel. Gute Drucklane, aber AP-Burst und späterer Objective-Wert verhindern eine extreme Bewertung.</x:v>
      </x:c>
    </x:row>
    <x:row r="11" ht="145" customHeight="1">
      <x:c r="A11" s="3" t="str">
        <x:v>Darius</x:v>
      </x:c>
      <x:c r="B11" s="3" t="str">
        <x:v>C</x:v>
      </x:c>
      <x:c r="C11" s="3" t="str">
        <x:v>Q-Außenring, Bleed-Stacks, Ghost und Axe-Pickups entscheiden. Olaf hat genug Dauerschaden für gewinnbare All-ins; wer zuerst den gegnerischen Hauptschaden ohne Antwort nimmt, verliert häufig.</x:v>
      </x:c>
      <x:c r="D11" s="3" t="str">
        <x:v>Conqueror</x:v>
      </x:c>
      <x:c r="E11" s="3" t="str">
        <x:v>Einzelne Dreiertrades geben Darius Blutungsstacks, ohne den Fight zu lösen. Conqueror unterstützt das Duell, das nach beiden Cooldown-Rotationen weitergeht.</x:v>
      </x:c>
      <x:c r="F11" s="3" t="str">
        <x:v>Doran’s Blade + Health Potion</x:v>
      </x:c>
      <x:c r="G11" s="3" t="str">
        <x:v>Flash + Ghost</x:v>
      </x:c>
      <x:c r="H11" s="3" t="str">
        <x:v>Plated Steelcaps bei schwierigen Trades. Bleed und R bleiben gefährlich.</x:v>
      </x:c>
      <x:c r="I11" s="3" t="str">
        <x:v>Skillabhängig. Gegen W-Start und Ghost nicht blind facechecken. Mit Q-Start Distanzstaffelung nutzen und nur bei wiederholten Treffern sowie ausgeglichener Wave durchziehen.</x:v>
      </x:c>
      <x:c r="J11" s="3" t="str">
        <x:v>Nach verfehltem äußeren Q oder verbrauchtem E handeln. In Q hineingehen, wenn sicher, statt beim Rückzug den Rand zu treffen. Bei vier/fünf Stacks ohne Kill sofort Fenster neu bewerten.</x:v>
      </x:c>
      <x:c r="K11" s="3" t="str">
        <x:v>R negiert Pull/Slow, aber weder Bleed noch Dunk. W rechtzeitig vor R-Burst. Auf niedrigen HP ist ein verlorener Auto besonders teuer.</x:v>
      </x:c>
      <x:c r="L11" s="3" t="str">
        <x:v>Q-Außenring mit Heal, W-Reset/Slow, E-Pull, Passiv-Stacks und R.</x:v>
      </x:c>
      <x:c r="M11" s="3" t="str">
        <x:v>Q ohne Champion-Randtreffer plus E verbraucht. Ghost fehlt: lange eigene Lane besser nutzbar. Ein Q-Miss allein bei fünf Bleed-Stacks genügt nicht.</x:v>
      </x:c>
      <x:c r="N11" s="3" t="str">
        <x:v>Aus Q herauslaufen und dadurch den Außenring treffen. Kämpfen, während W fehlt und Darius volle Stacks hält. Eine Axt in seine verstärkte Wave verfolgen.</x:v>
      </x:c>
      <x:c r="O11" s="3" t="str">
        <x:v>Keinen Level-2-Nachteil durch sinnloses L1-Chasing. Bei Prio Slowpush crashen, sonst dünnen und auf eigener Seite halten. Freeze nur mit genug HP, um seinen Push zu contesten.</x:v>
      </x:c>
      <x:c r="P11" s="3" t="str">
        <x:v>Q treffen, Auto–E, Q-Rand innen umgehen. Auto–W–Auto für Gegenschaden/Schild. R für Pull/Slow bei echtem Commit, kurze Äxte aufnehmen und möglichst keinen Auto auslassen.</x:v>
      </x:c>
      <x:c r="Q11" s="3" t="str">
        <x:v>Ravenous Hydra für Rückheilung und AD, danach Death’s Dance. Stridebreaker als Alternative, wenn Ghost-Spacing den Kampf entscheidet.</x:v>
      </x:c>
      <x:c r="R11" s="3" t="str">
        <x:v>Sterak’s als Puffer gegen Burst. Executioner’s nur bei wiederholt relevanten Q-Heals. Armor hilft gegen Q/Autos, ersetzt kein Q-Dodging.</x:v>
      </x:c>
      <x:c r="S11" s="3" t="str">
        <x:v>1 Item: Ressourcen und Summoner wichtiger als Name des Cores. 2 Items: DD hilft im physischen Duell, Dunk bleibt. 3 Items: beide tödlich bei Fehlern. Ein klarer Q-Miss kann weiter mehr zählen als allgemeines Scaling.</x:v>
      </x:c>
      <x:c r="T11" s="3" t="str">
        <x:v>Spiele um den äußeren Q und halte Ghost verfügbar. Committe mit vollständigen Cooldowns, statt Darius einen halben Kampf und fünf Stacks zu schenken. W muss vor seinem tödlichen Dunk kommen.</x:v>
      </x:c>
      <x:c r="U11" s="3" t="str">
        <x:v>PTA nur wenn die Side nicht dein Auftrag ist und gegnerische Carries in einem kurzen Kontakt sterben. Gegen Darius plus weitere Melees Conqueror.</x:v>
      </x:c>
      <x:c r="V11"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1" s="3" t="str">
        <x:v>26.18</x:v>
      </x:c>
      <x:c r="X11" s="3" t="str">
        <x:v>10.09.2026</x:v>
      </x:c>
      <x:c r="Y11" s="3" t="str">
        <x:v>C</x:v>
      </x:c>
      <x:c r="Z11" s="3" t="str">
        <x:v>C</x:v>
      </x:c>
      <x:c r="AA11" s="3" t="str">
        <x:v>C</x:v>
      </x:c>
      <x:c r="AB11" s="3" t="str">
        <x:v>Tier beibehalten. Lane C, späte Side C: Q-Außenring, Bleed-Stacks, Ghost und Axe-Pickups entscheiden. Olaf hat genug Dauerschaden für gewinnbare All-ins; wer zuerst den gegnerischen Hauptschaden ohne Antwort nimmt, verliert häufig.</x:v>
      </x:c>
    </x:row>
    <x:row r="12" ht="145" customHeight="1">
      <x:c r="A12" s="3" t="str">
        <x:v>Dr. Mundo</x:v>
      </x:c>
      <x:c r="B12" s="3" t="str">
        <x:v>A</x:v>
      </x:c>
      <x:c r="C12" s="3" t="str">
        <x:v>Mundos fehlender Dash und schwache frühe Kontrolle lassen Olaf Farmzugang bedrohen. Die Passive blockiert Olafs Slow nicht. R, HP und Armor verlangen später passende Schadens- und Heilungsantworten.</x:v>
      </x:c>
      <x:c r="D12" s="3" t="str">
        <x:v>Conqueror</x:v>
      </x:c>
      <x:c r="E12" s="3" t="str">
        <x:v>Mundos R und HP-Build verlangen anhaltenden Schaden. Conqueror ist für das zweite E und wiederholte Autos sinnvoller als bloßer Anfangsburst.</x:v>
      </x:c>
      <x:c r="F12" s="3" t="str">
        <x:v>Doran’s Blade + Health Potion</x:v>
      </x:c>
      <x:c r="G12" s="3" t="str">
        <x:v>Ghost + Ignite</x:v>
      </x:c>
      <x:c r="H12" s="3" t="str">
        <x:v>Keine zwingenden Tier-2-Boots. Frühe Boots gegen Cleaver-Poke.</x:v>
      </x:c>
      <x:c r="I12" s="3" t="str">
        <x:v>Olaf im Nahkampf. Eigene Minions gegen Cleaver nutzen, Q-Reset nur auf sicherem Weg. Mundo darf aus Distanz farmen, wenn Verfolgen mehr HP kostet als Druck bringt.</x:v>
      </x:c>
      <x:c r="J12" s="3" t="str">
        <x:v>Nach verfehltem Q vorlaufen. Nicht mit halber HP in mehrere Qs chasen. W-Ende/Heilung respektieren und mit längerer Lane Farmzone wegnehmen.</x:v>
      </x:c>
      <x:c r="K12" s="3" t="str">
        <x:v>Seine R muss in der Killplanung enthalten sein. Ignite während der relevanten Heilphase, nicht als frühen Poke verschwenden. Olaf-R hauptsächlich für Kontakt und Schaden.</x:v>
      </x:c>
      <x:c r="L12" s="3" t="str">
        <x:v>Q-Cleaver, W-Heilung, E-Minionschuss, R-Regen. Passive schützt gegen Immobilisierung, nicht jeden Slow.</x:v>
      </x:c>
      <x:c r="M12" s="3" t="str">
        <x:v>R vorbei/auf Cooldown. Q verfehlt erleichtert Kontakt. Ohne Ignite/Antiheal ist eine frische R kein automatisches Killfenster.</x:v>
      </x:c>
      <x:c r="N12" s="3" t="str">
        <x:v>R-Heilung ignorieren. Cleaver-Kette beim Chase tanken. Seine Passive mit Olaf-Q „entfernen“ wollen.</x:v>
      </x:c>
      <x:c r="O12" s="3" t="str">
        <x:v>Früh Slowpush, Crash und Bounce in Freeze umwandeln. Mundo für jeden Nahkampf-Last-Hit in Q-Reichweite zwingen. Hydra erst, wenn Sustain/Push mehr wert ist als Freeze.</x:v>
      </x:c>
      <x:c r="P12" s="3" t="str">
        <x:v>Hinter Minions Q treffen, seitlich zur Fluchtlinie laufen. Auto–W–Auto–E, kurze Qs. Ignite auf seine R-Heilung legen. Wenn kein Finish möglich, Wave crashen statt HP spenden.</x:v>
      </x:c>
      <x:c r="Q12" s="3" t="str">
        <x:v>Ravenous Hydra, danach Blade of the Ruined King gegen HP-Stacking bei wenig Armor. Bei früher Armor Black Cleaver als zweites Item erwägen.</x:v>
      </x:c>
      <x:c r="R12" s="3" t="str">
        <x:v>Executioner’s, wenn Ignite fehlt oder nicht jeden Fight deckt. Sterak’s gegen gemischte Comp. Hullbreaker, wenn du bereits Druck ausübst und Türme das Ziel sind.</x:v>
      </x:c>
      <x:c r="S12" s="3" t="str">
        <x:v>1 Item: deutlicher Druck bei vergleichbaren HP. 2 Items: HP/Armor und Antiheal entscheiden. 3 Items: Mundo kann Kämpfe aussitzen und im Team sehr wertvoll sein. Olaf braucht echten Vorsprung oder passenden Schadensmix.</x:v>
      </x:c>
      <x:c r="T12" s="3" t="str">
        <x:v>Halte ihn früh von der Wave fern und nutze Minions als Cleaver-Schutz. Plane seine R-Heilung vollständig ein. Kaufe den zweiten Schadensbaustein passend zu HP oder Armor, statt stumpf weiterzudiven.</x:v>
      </x:c>
      <x:c r="U12" s="3" t="str">
        <x:v>PTA, wenn Mundo nur gefarmt wird und vier andere Gegner kurze Carry-Kills erlauben. Für Side-Killdruck Conqueror. Flash + Ghost bei gefährlichen gegnerischen Wänden/Engages statt Ignite.</x:v>
      </x:c>
      <x:c r="V12"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2" s="3" t="str">
        <x:v>26.18</x:v>
      </x:c>
      <x:c r="X12" s="3" t="str">
        <x:v>10.09.2026</x:v>
      </x:c>
      <x:c r="Y12" s="3" t="str">
        <x:v>A</x:v>
      </x:c>
      <x:c r="Z12" s="3" t="str">
        <x:v>C</x:v>
      </x:c>
      <x:c r="AA12" s="3" t="str">
        <x:v>A</x:v>
      </x:c>
      <x:c r="AB12" s="3" t="str">
        <x:v>Tier beibehalten. Lane A, späte Side C: Mundos fehlender Dash und schwache frühe Kontrolle lassen Olaf Farmzugang bedrohen. Die Passive blockiert Olafs Slow nicht. R, HP und Armor verlangen später passende Schadens- und Heilungsantworten.</x:v>
      </x:c>
    </x:row>
    <x:row r="13" ht="145" customHeight="1">
      <x:c r="A13" s="3" t="str">
        <x:v>Fiora</x:v>
      </x:c>
      <x:c r="B13" s="3" t="str">
        <x:v>D</x:v>
      </x:c>
      <x:c r="C13" s="3" t="str">
        <x:v>Frühe Duelle sind über Riposte und Vital-Positionierung spielbar. Spätere wiederholte Vitals und Q-Rückzüge verschieben das 1v1 zu Fiora. Das ist ein leichter Gesamt-Nachteil mit deutlicherem späten Side-Risiko.</x:v>
      </x:c>
      <x:c r="D13" s="3" t="str">
        <x:v>Conqueror</x:v>
      </x:c>
      <x:c r="E13" s="3" t="str">
        <x:v>Riposte kann Autos und E entwerten und PTA verzögern. Conqueror passt zum Duell nach W, das mehr als drei Autos braucht. Die Rune ersetzt das Ausweichen ihrer Riposte nicht.</x:v>
      </x:c>
      <x:c r="F13" s="3" t="str">
        <x:v>Doran’s Blade + Health Potion</x:v>
      </x:c>
      <x:c r="G13" s="3" t="str">
        <x:v>Flash + Ghost</x:v>
      </x:c>
      <x:c r="H13" s="3" t="str">
        <x:v>Plated Steelcaps gegen Autos. Vital-True-Damage bleibt ungemindert.</x:v>
      </x:c>
      <x:c r="I13" s="3" t="str">
        <x:v>Olaf, wenn er eine schlechte vordere Vital vermeidet und Qs aufnimmt. Fiora gewinnt kurze Q-Vital-Trades. Schlechte Vital durch Distanz resetten, falls ohne CS-Verlust möglich.</x:v>
      </x:c>
      <x:c r="J13" s="3" t="str">
        <x:v>Nach W-Verbrauch verlängern. E nicht offensichtlich als einziger Burst telegraphieren. Q-Landung von Fiora verfolgen, ohne weitere Vitals freizugeben.</x:v>
      </x:c>
      <x:c r="K13" s="3" t="str">
        <x:v>Olaf-R entfernt keine Fiora-Heilzone und verhindert ihre Vitals nicht. Eigene W vor der schnellen R-Vital-Folge. Wandposition kann eine Vital unzugänglich machen.</x:v>
      </x:c>
      <x:c r="L13" s="3" t="str">
        <x:v>Passive-Vitals, Q-Repositionierung, W-Riposte und R-Vierfach-Vitals.</x:v>
      </x:c>
      <x:c r="M13" s="3" t="str">
        <x:v>W verfehlt/abgelaufen plus Q-Rückzug schlecht positioniert. Nach verbrauchter R ist das nächste Duell deutlich übersichtlicher.</x:v>
      </x:c>
      <x:c r="N13" s="3" t="str">
        <x:v>E in W abgeben. Um sie herum laufen und jede R-Vital schenken. Armor als vollständigen Schutz gegen Fiora betrachten.</x:v>
      </x:c>
      <x:c r="O13" s="3" t="str">
        <x:v>Wave eigene Seite, damit ihre Q-Trades einen Rückweg kosten. Frühe Prio nur in vollständigen Crash umsetzen. Nicht endlos einfrieren, wenn sie ungestört roamen kann.</x:v>
      </x:c>
      <x:c r="P13" s="3" t="str">
        <x:v>Q und Auto zum Antesten, W-Riposte sidesteppen. Erst danach Auto–W–Auto–E beschleunigen. Mit Rückseite zur geeigneten Wand kämpfen, ohne dich in einen Gank einzuschließen.</x:v>
      </x:c>
      <x:c r="Q13" s="3" t="str">
        <x:v>Ravenous Hydra gegen ihr Sustain, danach Death’s Dance bei hohem physischen Anteil oder Sterak’s für einen größeren Schildpuffer. Kein Armor-Rush ohne Schadensplan.</x:v>
      </x:c>
      <x:c r="R13" s="3" t="str">
        <x:v>Executioner’s für R-Heilzone/Lifesteal. Hullbreaker nur zum Ausnutzen ihrer Abwesenheit. Kritlaf ist hier kein verlässlicher Counter gegen W und Vital-Burst.</x:v>
      </x:c>
      <x:c r="S13" s="3" t="str">
        <x:v>1 Item: beide können durch Timing gewinnen. 2 Items: Fioras wiederholte Q/Vitals gewinnen an Wert. 3 Items: klare Vorsicht im offenen 1v1 bei Gleichstand. Wave schnell bearbeiten, dann mit Team Überzahl herstellen.</x:v>
      </x:c>
      <x:c r="T13" s="3" t="str">
        <x:v>Spare E bis nach Riposte und schütze deine Vitals mit Positionierung. Erzeuge den langen Trade erst nach ihrem W. Nutze frühe Druckphasen für Farm und Türme, bevor das gleichwertige Side-Duell kippt.</x:v>
      </x:c>
      <x:c r="U13" s="3" t="str">
        <x:v>PTA, wenn dein Team Fiora auf der Side übernimmt und du fragile Gegner angreifen sollst. In der Lane Conqueror als Standard.</x:v>
      </x:c>
      <x:c r="V13"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3" s="3" t="str">
        <x:v>26.18</x:v>
      </x:c>
      <x:c r="X13" s="3" t="str">
        <x:v>10.09.2026</x:v>
      </x:c>
      <x:c r="Y13" s="3" t="str">
        <x:v>C</x:v>
      </x:c>
      <x:c r="Z13" s="3" t="str">
        <x:v>E</x:v>
      </x:c>
      <x:c r="AA13" s="3" t="str">
        <x:v>E</x:v>
      </x:c>
      <x:c r="AB13" s="3" t="str">
        <x:v>Tier E → D. Lane C, späte Side E: Frühe Duelle sind über Riposte und Vital-Positionierung spielbar. Spätere wiederholte Vitals und Q-Rückzüge verschieben das 1v1 zu Fiora. Das ist ein leichter Gesamt-Nachteil mit deutlicherem späten Side-Risiko.</x:v>
      </x:c>
    </x:row>
    <x:row r="14" ht="145" customHeight="1">
      <x:c r="A14" s="3" t="str">
        <x:v>Gangplank</x:v>
      </x:c>
      <x:c r="B14" s="3" t="str">
        <x:v>B</x:v>
      </x:c>
      <x:c r="C14" s="3" t="str">
        <x:v>Fässer bestimmen frühe Trades. Ab 6 kann Olaf Slows übergehen und ohne vorbereitetes Fassnetz Kontakt erzwingen. Gangplanks sichere Fernwirkung bleibt ein eigener Gesamtspiel-Faktor.</x:v>
      </x:c>
      <x:c r="D14" s="3" t="str">
        <x:v>PTA</x:v>
      </x:c>
      <x:c r="E14" s="3" t="str">
        <x:v>Nach zerstörtem Fass bekommt Olaf oft drei Autos, bevor ein neues Netz steht. Dieses begrenzte Killfenster passt zu PTA. Langes Kämpfen durch mehrere passive Resets vermeiden.</x:v>
      </x:c>
      <x:c r="F14" s="3" t="str">
        <x:v>Doran’s Shield + Health Potion</x:v>
      </x:c>
      <x:c r="G14" s="3" t="str">
        <x:v>Flash + Ghost</x:v>
      </x:c>
      <x:c r="H14" s="3" t="str">
        <x:v>Frühe Boots zum Barrel-Spacen. Steelcaps gegen Q/Autos, kein vollständiger Barrel-Schutz.</x:v>
      </x:c>
      <x:c r="I14" s="3" t="str">
        <x:v>Olaf im langen Kontakt, Gangplank beim Q-Poke. Eigene Q für Druck, nicht blind durch passiven Auto und Minions anlaufen.</x:v>
      </x:c>
      <x:c r="J14" s="3" t="str">
        <x:v>Nach verlorenem Fass-Timing oder leeren Charges anlaufen. Seine W reinigt einen Slow: nächste Axt bereithalten, nicht sofort alle Mobilität verbrauchen.</x:v>
      </x:c>
      <x:c r="K14" s="3" t="str">
        <x:v>R erlaubt Chase durch Slows. Fassschaden bleibt voll relevant. Gangplanks R kann deine Wave und den Rückweg bestrafen, deshalb vor Commit HP und Jungle prüfen.</x:v>
      </x:c>
      <x:c r="L14" s="3" t="str">
        <x:v>E-Fässer/Chain, Passive-Resets, W-Heal/Cleanse, R-Zone.</x:v>
      </x:c>
      <x:c r="M14" s="3" t="str">
        <x:v>Fass zerstört und keine gute Reserveposition. W verwendet: nächste Q bleibt besser haften. Nicht in ein bereits vorbereitetes zweites Fass laufen.</x:v>
      </x:c>
      <x:c r="N14" s="3" t="str">
        <x:v>Auf ein Fass und Champion zugleich ohne Timing fokussieren. R als Schadensimmunität behandeln. Mehrere passive Procs gratis nehmen.</x:v>
      </x:c>
      <x:c r="O14" s="3" t="str">
        <x:v>Anfangs HP erhalten. Bei gewonnenem Fassduell Slowpush crashen. Eigene Seite bietet lange Chase-Lane, aber ein stationärer Freeze in seinem Fassnetz ist wertlos.</x:v>
      </x:c>
      <x:c r="P14" s="3" t="str">
        <x:v>Fass contesten oder Chain-Radius verlassen. Q auf Gangplank, W-Cleanse abwarten, zweite Q. Auto–W–Auto und dritten Auto sichern, E zwischen sichere Treffer legen. Fassspawn sofort neu bewerten.</x:v>
      </x:c>
      <x:c r="Q14" s="3" t="str">
        <x:v>Stridebreaker für dauerhaftes Nahbleiben, danach Death’s Dance gegen physischen Burst. Ravenous Hydra stattdessen, wenn Q-Poke/Wave-Sustain das größere Problem ist.</x:v>
      </x:c>
      <x:c r="R14" s="3" t="str">
        <x:v>Sterak’s gegen Barrel-Combo. Bei klarer Führung Fiendhunter Bolts nach einem AD-Core für kurzen R-Burst, später Infinity Edge nur mit zuverlässiger Uptime und tragbarer Defensive.</x:v>
      </x:c>
      <x:c r="S14" s="3" t="str">
        <x:v>1 Item: Sheen/Trinity-Spike und Fassschaden respektieren. 2 Items: Olaf gewinnt erreichbare Kämpfe ohne Fassnetz. 3 Items: Crit-Barrels können vor Kontakt entscheiden. GP hat starken Fernnutzen, auch wenn er Side-Duelle vermeidet.</x:v>
      </x:c>
      <x:c r="T14" s="3" t="str">
        <x:v>Gewinne erst das Fassfenster, dann den Champion-Fight. Hebe eine zweite Q für seine Orange auf. Verfolge nur, solange kein neues Barrel-Netz zwischen dir und den sicheren Autos steht.</x:v>
      </x:c>
      <x:c r="U14" s="3" t="str">
        <x:v>Conqueror bei tankigem Gangplank-Build oder mehreren robusten Melees, die du länger bekämpfen musst.</x:v>
      </x:c>
      <x:c r="V14"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4" s="3" t="str">
        <x:v>26.18</x:v>
      </x:c>
      <x:c r="X14" s="3" t="str">
        <x:v>10.09.2026</x:v>
      </x:c>
      <x:c r="Y14" s="3" t="str">
        <x:v>C</x:v>
      </x:c>
      <x:c r="Z14" s="3" t="str">
        <x:v>C</x:v>
      </x:c>
      <x:c r="AA14" s="3" t="str">
        <x:v>B</x:v>
      </x:c>
      <x:c r="AB14" s="3" t="str">
        <x:v>Tier beibehalten. Lane C, späte Side C: Fässer bestimmen frühe Trades. Ab 6 kann Olaf Slows übergehen und ohne vorbereitetes Fassnetz Kontakt erzwingen. Gangplanks sichere Fernwirkung bleibt ein eigener Gesamtspiel-Faktor.</x:v>
      </x:c>
    </x:row>
    <x:row r="15" ht="145" customHeight="1">
      <x:c r="A15" s="3" t="str">
        <x:v>Garen</x:v>
      </x:c>
      <x:c r="B15" s="3" t="str">
        <x:v>C</x:v>
      </x:c>
      <x:c r="C15" s="3" t="str">
        <x:v>Olaf kann früh lange Trades gewinnen und mit Sustain Garens Resetspiel beantworten. Garens W, Q-Disengage und R bestrafen Fehler, nehmen Olaf aber keinen grundsätzlich spielbaren Duellplan.</x:v>
      </x:c>
      <x:c r="D15" s="3" t="str">
        <x:v>Conqueror</x:v>
      </x:c>
      <x:c r="E15" s="3" t="str">
        <x:v>W reduziert den frontloaded Burst, E hält den Kampf aktiv. Conqueror für langen Kontakt nach seinem ersten Trade. PTA nur, wenn du ihn wirklich vor dem Rückzug töten kannst.</x:v>
      </x:c>
      <x:c r="F15" s="3" t="str">
        <x:v>Doran’s Blade + Health Potion</x:v>
      </x:c>
      <x:c r="G15" s="3" t="str">
        <x:v>Flash + Ghost</x:v>
      </x:c>
      <x:c r="H15" s="3" t="str">
        <x:v>Plated Steelcaps gegen Q/Autos. Sein E und R brauchen zusätzliche Planung.</x:v>
      </x:c>
      <x:c r="I15" s="3" t="str">
        <x:v>Olaf bei mehrfachen Äxten. Garen-Q kurz abfangen, danach bestrafen. Nicht unnötig viel Wave-Aggro nehmen, das er später per Passive ausheilt.</x:v>
      </x:c>
      <x:c r="J15" s="3" t="str">
        <x:v>W früh herauslocken, nach Ablauf verlängern. Q reinigt Slow: Folgewurf zurückhalten. Bei aktivierter Bewegungsrune nicht Ghost blind in seinen Turm verbrennen.</x:v>
      </x:c>
      <x:c r="K15" s="3" t="str">
        <x:v>R entfernt Silence, verhindert aber Garens Execute nicht. W früh genug vor der R-Killgrenze. Garen kann erst disengagen und mit wiederhergestellten HP neu kommen.</x:v>
      </x:c>
      <x:c r="L15" s="3" t="str">
        <x:v>Q-Slowcleanse/Silence, W-Defensive, E mit verstärktem Schaden am nächsten Ziel, R-Burst, Passive.</x:v>
      </x:c>
      <x:c r="M15" s="3" t="str">
        <x:v>W abgelaufen und Q/Bewegungsrune verbraucht. Nach R-Verbrauch darf Olaf niedrige HP offensiver nutzen, sofern der restliche Schaden kalkuliert ist.</x:v>
      </x:c>
      <x:c r="N15" s="3" t="str">
        <x:v>Seine Passive zwischen jedem Trade komplett regenerieren lassen. Auf extrem niedrigen HP W sparen. Nur Armor kaufen und Execute vergessen.</x:v>
      </x:c>
      <x:c r="O15" s="3" t="str">
        <x:v>Frühen Slowpush zum Crash, danach eigene Seite und mit Q Passive unterbrechen, wenn manasparend möglich. Kein sinnloses Dauerpushen, das ihm sicheren Sustain erlaubt.</x:v>
      </x:c>
      <x:c r="P15" s="3" t="str">
        <x:v>Q/kleiner Trade löst W aus. Nach W Auto–W–Auto–E, nächste Q nach seinem Q-Cleanse. R gegen Silence bei Commit. W-Timing vor tödlichem Burst wichtiger als maximale Missing-HP-Ausbeute.</x:v>
      </x:c>
      <x:c r="Q15" s="3" t="str">
        <x:v>Ravenous Hydra zum Ausgleich seines Sustains, dann Sterak’s gegen Burst/Execute-Puffer. Death’s Dance, wenn AD-Comp den größeren Schaden liefert.</x:v>
      </x:c>
      <x:c r="R15" s="3" t="str">
        <x:v>Black Cleaver bei echter Armor. Hullbreaker nur, wenn du bereits Side-Prio hast. Kritlaf aus Rückstand erhöht die Gefahr, vor dem eigenen Schaden zu sterben.</x:v>
      </x:c>
      <x:c r="S15" s="3" t="str">
        <x:v>1 Item: Olaf kann nach W gewinnen, Garen kann Trades verweigern. 2 Items: Execute und Beweglichkeit erschweren den Abschluss. 3 Items: offener Statcheck bleibt ressourcenabhängig, Garen hat oft leichtere Pick-Ziele im Teamfight.</x:v>
      </x:c>
      <x:c r="T15" s="3" t="str">
        <x:v>Ziehe W und Q heraus, bevor du die lange Verfolgung startest. Nutze Hydra, damit seine Passive nicht jeden abgebrochenen Trade gewinnt. Spiele nach Level 6 niemals absichtlich bis unter seine R-Killgrenze.</x:v>
      </x:c>
      <x:c r="U15" s="3" t="str">
        <x:v>PTA, wenn der Plan ein kurzer Dive auf andere Gegner ist. Conqueror für Garen plus robuste Frontline.</x:v>
      </x:c>
      <x:c r="V15"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5" s="3" t="str">
        <x:v>26.18</x:v>
      </x:c>
      <x:c r="X15" s="3" t="str">
        <x:v>10.09.2026</x:v>
      </x:c>
      <x:c r="Y15" s="3" t="str">
        <x:v>B</x:v>
      </x:c>
      <x:c r="Z15" s="3" t="str">
        <x:v>C</x:v>
      </x:c>
      <x:c r="AA15" s="3" t="str">
        <x:v>D</x:v>
      </x:c>
      <x:c r="AB15" s="3" t="str">
        <x:v>Tier D → C. Lane B, späte Side C: Olaf kann früh lange Trades gewinnen und mit Sustain Garens Resetspiel beantworten. Garens W, Q-Disengage und R bestrafen Fehler, nehmen Olaf aber keinen grundsätzlich spielbaren Duellplan.</x:v>
      </x:c>
    </x:row>
    <x:row r="16" ht="145" customHeight="1">
      <x:c r="A16" s="3" t="str">
        <x:v>Gnar</x:v>
      </x:c>
      <x:c r="B16" s="3" t="str">
        <x:v>A</x:v>
      </x:c>
      <x:c r="C16" s="3" t="str">
        <x:v>Olafs R nimmt viel vom Mega-Gnar-CC. Nach verbrauchtem Sprung ist Mini-Gnar auf langer Lane gut angreifbar. Vor Kontakt abgegebene HP und ein vorbereiteter Doppelsprung bleiben entscheidend.</x:v>
      </x:c>
      <x:c r="D16" s="3" t="str">
        <x:v>PTA</x:v>
      </x:c>
      <x:c r="E16" s="3" t="str">
        <x:v>Nach Hop entsteht ein begrenztes Fenster mit zuverlässigen Autos auf Mini-Gnar. PTA nutzt es. Gegen ausschließlich lange Mega-Duelle ist Conqueror erwägenswert.</x:v>
      </x:c>
      <x:c r="F16" s="3" t="str">
        <x:v>Doran’s Shield + Health Potion</x:v>
      </x:c>
      <x:c r="G16" s="3" t="str">
        <x:v>Flash + Ghost</x:v>
      </x:c>
      <x:c r="H16" s="3" t="str">
        <x:v>Plated Steelcaps gegen Mini-Gnar-Autos. Boots früh für Q-Ausweichen.</x:v>
      </x:c>
      <x:c r="I16" s="3" t="str">
        <x:v>Olaf im Kontakt, Mini-Gnar beim freien Poke. Q durch die Wave drohen und Bushes nutzen, ohne zu viel HP für Level-1-Druck zu zahlen.</x:v>
      </x:c>
      <x:c r="J16" s="3" t="str">
        <x:v>Nach E/Hop Druck, aber Rage prüfen. Nicht auf Minions zulaufen, die ihm einen sicheren Doppelhop geben. Vor hoher Rage kein unvorbereitetes All-in.</x:v>
      </x:c>
      <x:c r="K16" s="3" t="str">
        <x:v>R kann Mega-CC neutralisieren. Zusätzliche HP und Schaden der Transformation bleiben. Mini-Gnar ohne E ist meist das bessere Killziel.</x:v>
      </x:c>
      <x:c r="L16" s="3" t="str">
        <x:v>E/Hop, Rage/Transformation, W-Dreierproc, Mega-R an Wänden.</x:v>
      </x:c>
      <x:c r="M16" s="3" t="str">
        <x:v>Hop verbraucht und Rage niedrig oder gerade zurücktransformiert. Verfehltes Q ohne sicheren Fang verschlechtert seinen Rückzug.</x:v>
      </x:c>
      <x:c r="N16" s="3" t="str">
        <x:v>Bei fast voller Rage committen. Doppelhop ermöglichen. R früh starten, bevor er zweimal wegspringt.</x:v>
      </x:c>
      <x:c r="O16" s="3" t="str">
        <x:v>Gegen Range eher eigene Seite. Nach Hop-Verbrauch Slowpush und vollen Crash. Cheater nur mit gewonnener Prio, nicht gegen fortlaufenden Poke erzwingen.</x:v>
      </x:c>
      <x:c r="P16" s="3" t="str">
        <x:v>Q treffen, Hop auslösen, Landepunkt mit Ghost anlaufen. Zweite Q, Auto–W–Auto und PTA fertigstellen. R erst, wenn Kontakt gegen CC gehalten werden muss.</x:v>
      </x:c>
      <x:c r="Q16" s="3" t="str">
        <x:v>Stridebreaker, danach Experimental Hexplate für den nächsten R-Chase. Ravenous Hydra statt Stride, wenn du mehr Sustain als zusätzliche Bindung brauchst.</x:v>
      </x:c>
      <x:c r="R16" s="3" t="str">
        <x:v>Death’s Dance gegen AD-Comp. Sterak’s gegen Transformation/Burst. Fiendhunter Bolts nur mit Vorsprung und erreichbarem Mini-Gnar, nicht als Lösung gegen Doppelhop.</x:v>
      </x:c>
      <x:c r="S16" s="3" t="str">
        <x:v>1 Item: gutes Catch-Fenster mit Stride. 2 Items: R/Hexplate erlauben Druck, E bleibt Schlüssel. 3 Items: Mini kann stärker kiten, Mega hat mehr Teamnutzen. Side-Prio in Objectives umsetzen.</x:v>
      </x:c>
      <x:c r="T16" s="3" t="str">
        <x:v>Lies Rage und Hop vor jedem Anlauf. Lass dich kurz poken, statt einen Chase in die Transformation zu erzwingen. Nach seinem Sprung ist deine Chance, die Lane lang zu nutzen.</x:v>
      </x:c>
      <x:c r="U16" s="3" t="str">
        <x:v>Conqueror bei Tank-Gnar plus langer gegnerischer Frontline. PTA für Mini-Catches und Carry-Zugriff.</x:v>
      </x:c>
      <x:c r="V16"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6" s="3" t="str">
        <x:v>26.18</x:v>
      </x:c>
      <x:c r="X16" s="3" t="str">
        <x:v>10.09.2026</x:v>
      </x:c>
      <x:c r="Y16" s="3" t="str">
        <x:v>B</x:v>
      </x:c>
      <x:c r="Z16" s="3" t="str">
        <x:v>B</x:v>
      </x:c>
      <x:c r="AA16" s="3" t="str">
        <x:v>A</x:v>
      </x:c>
      <x:c r="AB16" s="3" t="str">
        <x:v>Tier beibehalten. Lane B, späte Side B: Olafs R nimmt viel vom Mega-Gnar-CC. Nach verbrauchtem Sprung ist Mini-Gnar auf langer Lane gut angreifbar. Vor Kontakt abgegebene HP und ein vorbereiteter Doppelsprung bleiben entscheidend.</x:v>
      </x:c>
    </x:row>
    <x:row r="17" ht="145" customHeight="1">
      <x:c r="A17" s="3" t="str">
        <x:v>Gragas</x:v>
      </x:c>
      <x:c r="B17" s="3" t="str">
        <x:v>B</x:v>
      </x:c>
      <x:c r="C17" s="3" t="str">
        <x:v>Vor 6 begrenzen Body Slam und Sustain Olafs Zugang. Mit R wird Gragas als Disengage-Gegner leichter zu verfolgen. Der Vorteil besteht im langen Kontakt, nicht im wiederholten kurzen W-Trade.</x:v>
      </x:c>
      <x:c r="D17" s="3" t="str">
        <x:v>Conqueror</x:v>
      </x:c>
      <x:c r="E17" s="3" t="str">
        <x:v>Seine Defensive und Heilung verlangen mehrere Kontakte. PTA wird vor 6 oft durch E unterbrochen. Conqueror für den langen Fight nach E/W.</x:v>
      </x:c>
      <x:c r="F17" s="3" t="str">
        <x:v>Doran’s Shield + Health Potion</x:v>
      </x:c>
      <x:c r="G17" s="3" t="str">
        <x:v>Flash + Ghost</x:v>
      </x:c>
      <x:c r="H17" s="3" t="str">
        <x:v>Boots früh. Mercury’s bei AP-Druck plus sonstigem CC, nicht nur wegen E.</x:v>
      </x:c>
      <x:c r="I17" s="3" t="str">
        <x:v>Olaf im langen Fight nach Q-Miss. Gragas-Q-Poke und Passive nicht ohne Gegenwert tauschen. Q für Farm/Druck nutzen.</x:v>
      </x:c>
      <x:c r="J17" s="3" t="str">
        <x:v>E verfehlt oder für Wave verbraucht: vorlaufen. Seine W-Reduktion auslaufen lassen. Nicht für drei Autos den nächsten E-Reset tanken.</x:v>
      </x:c>
      <x:c r="K17" s="3" t="str">
        <x:v>R verhindert E/R-Verdrängung bei rechtzeitigem Einsatz. Bewegungsrune, W und Heilung bleiben. Ohne R kann er wieder kurze Trades kontrollieren.</x:v>
      </x:c>
      <x:c r="L17" s="3" t="str">
        <x:v>E-Body-Slam, W-Reduktion, Passive-Heal, R-Disengage.</x:v>
      </x:c>
      <x:c r="M17" s="3" t="str">
        <x:v>E verfehlt plus W beendet. Nach defensiver R ein weiteres Fenster bei eigenem R-/Ghost-Vorteil.</x:v>
      </x:c>
      <x:c r="N17" s="3" t="str">
        <x:v>R schon auf große Distanz nutzen. W-Defensive und Phase des E-Cooldowns ignorieren. Schadenloser Dauerpoke in seine Passive.</x:v>
      </x:c>
      <x:c r="O17" s="3" t="str">
        <x:v>Eigene Seite für längeren Chase, eingehende Q-Waves ausdünnen. Hydra ermöglicht später Crash/Reset. Cheater nur, wenn Q/E die Wave nicht festhalten.</x:v>
      </x:c>
      <x:c r="P17" s="3" t="str">
        <x:v>Q trifft, kleinen Trade anbieten, E/W provozieren. Nach Defensive erneut Q–Auto–W–Auto–E. R beim verbindlichen Kontakt, um den Disengage zu verhindern.</x:v>
      </x:c>
      <x:c r="Q17" s="3" t="str">
        <x:v>Ravenous Hydra für Sustain und Push, danach Maw gegen AP-Burst. Experimental Hexplate bei sicherer Lane, wenn häufiger R-Zugriff wichtiger ist.</x:v>
      </x:c>
      <x:c r="R17" s="3" t="str">
        <x:v>Executioner’s erst, wenn seine Heilung ein konkretes Killfenster verhindert. Force of Nature gegen mehrere AP-Dauerquellen. Sterak’s nicht mit Maw kombinieren.</x:v>
      </x:c>
      <x:c r="S17" s="3" t="str">
        <x:v>1 Item: Hydra macht Lane stabil, aber nicht jeden Gragas killbar. 2 Items: mit R leichter Druck. 3 Items: Gragas kann Wellen klären und Teamkämpfe entscheiden. Side-Kill nicht zum einzigen Siegplan machen.</x:v>
      </x:c>
      <x:c r="T17" s="3" t="str">
        <x:v>Ziehe E und W heraus und starte den langen Trade danach. Spare R für den Moment, in dem sein CC dich wirklich vom Ziel lösen würde. Ein erzwungener Recall und Wavevorteil sind oft der realistische Gewinn.</x:v>
      </x:c>
      <x:c r="U17" s="3" t="str">
        <x:v>PTA gegen fragilen AP-Gragas ohne zuverlässigen Disengage oder bei klarer Carry-Dive-Comp.</x:v>
      </x:c>
      <x:c r="V17"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7" s="3" t="str">
        <x:v>26.18</x:v>
      </x:c>
      <x:c r="X17" s="3" t="str">
        <x:v>10.09.2026</x:v>
      </x:c>
      <x:c r="Y17" s="3" t="str">
        <x:v>C</x:v>
      </x:c>
      <x:c r="Z17" s="3" t="str">
        <x:v>B</x:v>
      </x:c>
      <x:c r="AA17" s="3" t="str">
        <x:v>B</x:v>
      </x:c>
      <x:c r="AB17" s="3" t="str">
        <x:v>Tier beibehalten. Lane C, späte Side B: Vor 6 begrenzen Body Slam und Sustain Olafs Zugang. Mit R wird Gragas als Disengage-Gegner leichter zu verfolgen. Der Vorteil besteht im langen Kontakt, nicht im wiederholten kurzen W-Trade.</x:v>
      </x:c>
    </x:row>
    <x:row r="18" ht="145" customHeight="1">
      <x:c r="A18" s="3" t="str">
        <x:v>Gwen</x:v>
      </x:c>
      <x:c r="B18" s="3" t="str">
        <x:v>D</x:v>
      </x:c>
      <x:c r="C18" s="3" t="str">
        <x:v>Olaf besitzt frühe Druckfenster. Gwens späterer Q-/R-Dauerschaden und Heilung verschieben gleichwertige lange Duelle zu ihr. Deshalb Early nutzen, ohne einen gewonnenen ersten Trade mit dauerhaftem Outscaling gleichzusetzen.</x:v>
      </x:c>
      <x:c r="D18" s="3" t="str">
        <x:v>Conqueror</x:v>
      </x:c>
      <x:c r="E18" s="3" t="str">
        <x:v>Gwen bleibt lange in Nahkampfreichweite, wenn sie kämpfen will. Conqueror passt zu mehreren Q/E-Zyklen und ihrer Heilung. PTA beendet einen gleichwertigen Fight meist nicht früh genug.</x:v>
      </x:c>
      <x:c r="F18" s="3" t="str">
        <x:v>Doran’s Blade + Health Potion</x:v>
      </x:c>
      <x:c r="G18" s="3" t="str">
        <x:v>Ghost + Ignite</x:v>
      </x:c>
      <x:c r="H18" s="3" t="str">
        <x:v>Frühe Boots für Q/R-Dodges. Mercury’s bei weiterer AP/CC-Belastung.</x:v>
      </x:c>
      <x:c r="I18" s="3" t="str">
        <x:v>Olaf mit Q-Resets. Gwen-E-Start respektieren und kein langes Duell mit Minionnachteil. Gestacktes Q nicht mittig treffen lassen.</x:v>
      </x:c>
      <x:c r="J18" s="3" t="str">
        <x:v>Nach Q-Verbrauch oder E ohne Angriffs-Reset handeln. Seitlich um Q-Zentrum bewegen. W-Rand beachten: Q von außerhalb Mist ist keine sichere Kontaktquelle.</x:v>
      </x:c>
      <x:c r="K18" s="3" t="str">
        <x:v>Gwen-R verleiht großen Schadens-/Heilspike. Ragnarok negiert Slow, nicht die Nadeln. Ignite während Heilphase und quer zu R-Linie laufen.</x:v>
      </x:c>
      <x:c r="L18" s="3" t="str">
        <x:v>Vierfach-Q, E-Autos, W-Mist/Resistenzen, mehrere R-Würfe.</x:v>
      </x:c>
      <x:c r="M18" s="3" t="str">
        <x:v>Q ungestackt/verbraucht, W vorbei. R vollständig verbraucht bietet besseren Re-engage als nur der erste Wurf.</x:v>
      </x:c>
      <x:c r="N18" s="3" t="str">
        <x:v>Von außerhalb W auf Q-Treffer vertrauen. Alle Nadeln tanken. MR als Schutz gegen Q-True-Damage interpretieren.</x:v>
      </x:c>
      <x:c r="O18" s="3" t="str">
        <x:v>Früh Slowpush crashen und Bounce zum Zonen. Nicht freies Farmen bis zwei Items zulassen. Bei verlorener Prio dünnen, statt auf großer Wave zu duellieren.</x:v>
      </x:c>
      <x:c r="P18" s="3" t="str">
        <x:v>Q treffen, seitlich an Gwen heran. Auto–W–Auto–E, bei ihrem Q quer gehen. Während R-Folge weiter dodgen, nicht für einen zusätzlichen Auto im Zentrum bleiben.</x:v>
      </x:c>
      <x:c r="Q18" s="3" t="str">
        <x:v>Ravenous Hydra, danach Maw of Malmortius gegen ihren magischen Anteil. Stridebreaker, wenn E-Spacing das größere Problem ist.</x:v>
      </x:c>
      <x:c r="R18" s="3" t="str">
        <x:v>Executioner’s ohne Ignite oder bei längeren Heilduellen. Sterak’s als Alternative zu Maw. Force of Nature bei AP-Comp. Kein früher Crit-Glascannon-Statcheck.</x:v>
      </x:c>
      <x:c r="S18" s="3" t="str">
        <x:v>1 Item: Olaf mit sauberem Dodging konkurrenzfähig. 2 Items: Gwens Nashor/Riftmaker-artiger Dauerschaden gewinnt stark. 3 Items: Side eher Gwen bei Gleichstand. Frühe Prio für Türme und Teamdruck nutzen.</x:v>
      </x:c>
      <x:c r="T18" s="3" t="str">
        <x:v>Nimm früh Raum und kämpfe nach ihrem Q. Weiche Zentrum und Nadeln aus, auch während Ragnarok. Vermeide den gleichwertigen Drei-Item-Statcheck ohne klaren Ressourcen- oder Cooldownvorteil.</x:v>
      </x:c>
      <x:c r="U18" s="3" t="str">
        <x:v>PTA bei vier fragilen Zielen und wenn ein anderer Verbündeter Gwen übernimmt. Ghost + Flash, wenn Ignite den fehlenden Flash gegen die übrige Comp nicht rechtfertigt.</x:v>
      </x:c>
      <x:c r="V18"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8" s="3" t="str">
        <x:v>26.18</x:v>
      </x:c>
      <x:c r="X18" s="3" t="str">
        <x:v>10.09.2026</x:v>
      </x:c>
      <x:c r="Y18" s="3" t="str">
        <x:v>B</x:v>
      </x:c>
      <x:c r="Z18" s="3" t="str">
        <x:v>E</x:v>
      </x:c>
      <x:c r="AA18" s="3" t="str">
        <x:v>D</x:v>
      </x:c>
      <x:c r="AB18" s="3" t="str">
        <x:v>Tier beibehalten. Lane B, späte Side E: Olaf besitzt frühe Druckfenster. Gwens späterer Q-/R-Dauerschaden und Heilung verschieben gleichwertige lange Duelle zu ihr. Deshalb Early nutzen, ohne einen gewonnenen ersten Trade mit dauerhaftem Outscaling gleichzusetzen.</x:v>
      </x:c>
    </x:row>
    <x:row r="19" ht="145" customHeight="1">
      <x:c r="A19" s="3" t="str">
        <x:v>Heimerdinger</x:v>
      </x:c>
      <x:c r="B19" s="3" t="str">
        <x:v>B</x:v>
      </x:c>
      <x:c r="C19" s="3" t="str">
        <x:v>Das frühe Turret-Nest kann Olaf Farm und HP kosten. Nach Abbau des Nests und mit R ist Heimer ohne Dash gut fangbar. Lane-Nachteil und spätere Catch-Stärke müssen getrennt bleiben.</x:v>
      </x:c>
      <x:c r="D19" s="3" t="str">
        <x:v>PTA</x:v>
      </x:c>
      <x:c r="E19" s="3" t="str">
        <x:v>Nach Turret-Abbau und verfehltem E zählt ein schneller Kill auf Heimer. PTA passt zu drei erreichbaren Autos. Ein langer Fight im Nest ist kein sinnvolles Conqueror-Ziel.</x:v>
      </x:c>
      <x:c r="F19" s="3" t="str">
        <x:v>Doran’s Shield + Health Potion</x:v>
      </x:c>
      <x:c r="G19" s="3" t="str">
        <x:v>Flash + Ghost</x:v>
      </x:c>
      <x:c r="H19" s="3" t="str">
        <x:v>Boots früh zum E/W-Ausweichen. Mercury’s bei magischem Burst und weiterem CC.</x:v>
      </x:c>
      <x:c r="I19" s="3" t="str">
        <x:v>Heimer kontrolliert vorbereitetes Terrain. Olaf gewinnt nur Kontakt abseits mehrerer Türme. Q für Farm und Turret-Chip, keinen Bush ungeprüft betreten.</x:v>
      </x:c>
      <x:c r="J19" s="3" t="str">
        <x:v>Türme mit Q und sicheren Autos abbauen. E-Miss nur nutzen, wenn nicht drei aktive Türme plus Wave auf dich feuern. Jungler über gefährliche Gankwinkel informieren.</x:v>
      </x:c>
      <x:c r="K19" s="3" t="str">
        <x:v>R schützt vor Stun/Slow, nicht Turret-Laser oder RQ. Nach E und dünnem Nest anlaufen. Bei aufgestelltem RQ lieber neu positionieren.</x:v>
      </x:c>
      <x:c r="L19" s="3" t="str">
        <x:v>Q-Turret-Netz, E-Granate, W-Raketen, RQ/RE.</x:v>
      </x:c>
      <x:c r="M19" s="3" t="str">
        <x:v>E verfehlt, Türme/Charges reduziert. R gerade defensiv verbraucht und Lane weit weg vom Turm.</x:v>
      </x:c>
      <x:c r="N19" s="3" t="str">
        <x:v>Einen Gank im vollen Nest erzwingen. R mit Schadensimmunität verwechseln. Heimer fokussieren, während drei Türme freie Laser erhalten.</x:v>
      </x:c>
      <x:c r="O19" s="3" t="str">
        <x:v>Push annehmen und kontrolliert ausdünnen. Freeze nur ohne Turret-Dauerdruck realistisch. Mit Hydra vollständigen Crash/Recall erzwingen, bevor neues Nest steht.</x:v>
      </x:c>
      <x:c r="P19" s="3" t="str">
        <x:v>Turrets chippen, E seitlich ausweichen. Q auf Heimer, R beim Kontakt, Auto–W–Auto und PTA. Aus RQ-Schusslinie herauslaufen, falls der schnelle Kill nicht gelingt.</x:v>
      </x:c>
      <x:c r="Q19" s="3" t="str">
        <x:v>Ravenous Hydra zum Nest-/Waveabbau und Sustain. Stridebreaker, wenn Catch wichtiger wird. Zweites Item Maw gegen AP-Burst oder Hexplate bei freiem Zugriff.</x:v>
      </x:c>
      <x:c r="R19" s="3" t="str">
        <x:v>Force of Nature gegen dauerhaften AP-Schaden. Kein früher Kritlaf, solange das Nest vor Kontakt zu viel HP kostet.</x:v>
      </x:c>
      <x:c r="S19" s="3" t="str">
        <x:v>1 Item: Hydra vereinfacht Farm und Reset. 2 Items: guter Catch ohne Nest, schlechter Kampf in RQ. 3 Items: Terrain entscheidet mehr als reines Scaling. Er kann Objective-Zonen halten, daher vorher Waves drücken.</x:v>
      </x:c>
      <x:c r="T19" s="3" t="str">
        <x:v>Baue zuerst die Türme ab und warte auf die Granate. Erst dann mit R auf Heimer gehen. Wenn der Kill nicht schnell fällt, verlasse das Nest und gewinne über einen besseren zweiten Anlauf.</x:v>
      </x:c>
      <x:c r="U19" s="3" t="str">
        <x:v>Conqueror nur gegen viel zusätzliche Frontline; nicht als Begründung, im Turret-Nest stehen zu bleiben.</x:v>
      </x:c>
      <x:c r="V19"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19" s="3" t="str">
        <x:v>26.18</x:v>
      </x:c>
      <x:c r="X19" s="3" t="str">
        <x:v>10.09.2026</x:v>
      </x:c>
      <x:c r="Y19" s="3" t="str">
        <x:v>D</x:v>
      </x:c>
      <x:c r="Z19" s="3" t="str">
        <x:v>C</x:v>
      </x:c>
      <x:c r="AA19" s="3" t="str">
        <x:v>B</x:v>
      </x:c>
      <x:c r="AB19" s="3" t="str">
        <x:v>Tier beibehalten. Lane D, späte Side C: Das frühe Turret-Nest kann Olaf Farm und HP kosten. Nach Abbau des Nests und mit R ist Heimer ohne Dash gut fangbar. Lane-Nachteil und spätere Catch-Stärke müssen getrennt bleiben.</x:v>
      </x:c>
    </x:row>
    <x:row r="20" ht="145" customHeight="1">
      <x:c r="A20" s="3" t="str">
        <x:v>Illaoi</x:v>
      </x:c>
      <x:c r="B20" s="3" t="str">
        <x:v>D</x:v>
      </x:c>
      <x:c r="C20" s="3" t="str">
        <x:v>E und R erzwingen mehr Positionsarbeit als in vielen Melee-Lanes. Nach E-Miss oder verbrauchter R kann Olaf jedoch aktiv Druck machen. Ein Kampf im vollen Nest ist schlecht, nicht jede Spielsituation gegen Illaoi.</x:v>
      </x:c>
      <x:c r="D20" s="3" t="str">
        <x:v>Conqueror</x:v>
      </x:c>
      <x:c r="E20" s="3" t="str">
        <x:v>Der erlaubte Fight nach E/R-Abklingen dauert meist mehrere Rotationen. Conqueror unterstützt ihn. PTA rechtfertigt keinen kurzen Burst in Geist plus R.</x:v>
      </x:c>
      <x:c r="F20" s="3" t="str">
        <x:v>Doran’s Blade + Health Potion</x:v>
      </x:c>
      <x:c r="G20" s="3" t="str">
        <x:v>Flash + Ghost</x:v>
      </x:c>
      <x:c r="H20" s="3" t="str">
        <x:v>Boots zum E/Q-Dodging. Steelcaps gegen W/Autos, nicht gegen gesamten Tentakelschaden.</x:v>
      </x:c>
      <x:c r="I20" s="3" t="str">
        <x:v>Olaf vor aufgebautem Nest. Tentakel nur bei sicherem Abstand entfernen und Q-Start für Druck nutzen. W-Start-Illaoi an Wandtentakel nicht blind duellieren.</x:v>
      </x:c>
      <x:c r="J20" s="3" t="str">
        <x:v>E durch Minions blockieren. Nach Miss sofort Platz nehmen. Getroffener Geist: Abstand/Nest verlassen, nicht auf Zwang dagegenhalten.</x:v>
      </x:c>
      <x:c r="K20" s="3" t="str">
        <x:v>Illaoi-R herauslocken und rauslaufen. Erst nach Ende erneut kämpfen. Olaf-R hilft beim Weglaufen durch Slow, aber nicht gegen den Hauptschaden.</x:v>
      </x:c>
      <x:c r="L20" s="3" t="str">
        <x:v>E-Geist, W-Sprünge, Tentakelpositionen, R.</x:v>
      </x:c>
      <x:c r="M20" s="3" t="str">
        <x:v>E verfehlt und wenige Tentakel. R vollständig vorbei. Nach E-Hit existiert meist kein gutes Killfenster ohne großen Vorsprung.</x:v>
      </x:c>
      <x:c r="N20" s="3" t="str">
        <x:v>In Geist plus R stehenbleiben, obwohl HP und Tentakel den Kampf klar verlieren lassen. Auto-Heilung gegen mehrere Treffer überschätzen. Olafs W selbst gibt keinen Lebensraub.</x:v>
      </x:c>
      <x:c r="O20" s="3" t="str">
        <x:v>Früh Prio zum Crash und Tentakel entfernen. Ab 6 Wave eigene Seite und dünn halten. Nicht zwischen feindlichem Turm und vollem Nest einfrieren wollen.</x:v>
      </x:c>
      <x:c r="P20" s="3" t="str">
        <x:v>Hinter Minions E baiten, danach Q–Auto–E. Auto–W–Auto nur außerhalb mehrerer Tentakelschläge. R erzwingen, zurückziehen, nach Ablauf zweite Q-Kette starten.</x:v>
      </x:c>
      <x:c r="Q20" s="3" t="str">
        <x:v>Ravenous Hydra für Sustain/Waveclear, danach Death’s Dance gegen physischen Schaden. Stridebreaker bei Bedarf, R-Zone besser zu verlassen und neu anzusetzen.</x:v>
      </x:c>
      <x:c r="R20" s="3" t="str">
        <x:v>Executioner’s gegen relevante Tentakelheilung, aber kein Ersatz für Disengage. Sterak’s gegen Burst. Hullbreaker nur bei bereits gewonnenem Side-Zustand.</x:v>
      </x:c>
      <x:c r="S20" s="3" t="str">
        <x:v>1 Item: E-Miss erlaubt Druck. 2 Items: R-Zone bleibt nicht statcheckbar als Standard. 3 Items: direkte Side sehr bedingt, über Push/Rotation spielen. Ihre Abwesenheit an Objectives nutzen, ohne Turm zu verschenken.</x:v>
      </x:c>
      <x:c r="T20" s="3" t="str">
        <x:v>Ohne E-Treffer ist Illaoi angreifbar. Mit Geist und R verlässt du den Bereich sofort. Nutze die Pause, heile an der Wave und greife erst nach dem nächsten klaren E-Miss wieder an.</x:v>
      </x:c>
      <x:c r="U20" s="3" t="str">
        <x:v>PTA gegen vier fragile Gegner, wenn du Illaoi über Waveclear hältst. Nicht wählen, um ihr R-Nest schneller durchzubursten.</x:v>
      </x:c>
      <x:c r="V20"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20" s="3" t="str">
        <x:v>26.18</x:v>
      </x:c>
      <x:c r="X20" s="3" t="str">
        <x:v>10.09.2026</x:v>
      </x:c>
      <x:c r="Y20" s="3" t="str">
        <x:v>D</x:v>
      </x:c>
      <x:c r="Z20" s="3" t="str">
        <x:v>D</x:v>
      </x:c>
      <x:c r="AA20" s="3" t="str">
        <x:v>E</x:v>
      </x:c>
      <x:c r="AB20" s="3" t="str">
        <x:v>Tier E → D. Lane D, späte Side D: E und R erzwingen mehr Positionsarbeit als in vielen Melee-Lanes. Nach E-Miss oder verbrauchter R kann Olaf jedoch aktiv Druck machen. Ein Kampf im vollen Nest ist schlecht, nicht jede Spielsituation gegen Illaoi.</x:v>
      </x:c>
    </x:row>
    <x:row r="21" ht="145" customHeight="1">
      <x:c r="A21" s="3" t="str">
        <x:v>Irelia</x:v>
      </x:c>
      <x:c r="B21" s="3" t="str">
        <x:v>C</x:v>
      </x:c>
      <x:c r="C21" s="3" t="str">
        <x:v>Passive und Minion-Resets geben Irelia starke Lane-Fenster. Auf leerer Lane und nach E/W kann Olaf den längeren Kampf gewinnen. Die Wave entscheidet stärker als ein pauschaler Champion-Statcheck.</x:v>
      </x:c>
      <x:c r="D21" s="3" t="str">
        <x:v>Conqueror</x:v>
      </x:c>
      <x:c r="E21" s="3" t="str">
        <x:v>Mehrere Re-engages, W-Reduktion und Lifesteal verlangen langen Gegenschaden. Conqueror ist zuverlässiger als PTA hinter einer Dash-Kette herzujagen.</x:v>
      </x:c>
      <x:c r="F21" s="3" t="str">
        <x:v>Doran’s Blade + Health Potion</x:v>
      </x:c>
      <x:c r="G21" s="3" t="str">
        <x:v>Flash + Ghost</x:v>
      </x:c>
      <x:c r="H21" s="3" t="str">
        <x:v>Plated Steelcaps gegen ihre Auto-Uptime.</x:v>
      </x:c>
      <x:c r="I21" s="3" t="str">
        <x:v>Olaf gegen ungestackte Passive. Irelia darf nicht ungestört mehrere niedrige Minions Q-en und danach kämpfen. Mit Q Position sichern, nicht in vier Stacks anlaufen.</x:v>
      </x:c>
      <x:c r="J21" s="3" t="str">
        <x:v>E verfehlt und keine Low-HP-Minions: All-in-Fenster. W abwarten. Eigene Minion-HP als ihre Mobilitätsressource lesen. Patch 26.17 stärkt ihre Q-AD-Skalierung.</x:v>
      </x:c>
      <x:c r="K21" s="3" t="str">
        <x:v>R verhindert Stun/Slow als Kontrolle, nicht Markierung, Dash-Resets oder R-Schaden. Sie kann Olaf-R über Minions auslaufen lassen.</x:v>
      </x:c>
      <x:c r="L21" s="3" t="str">
        <x:v>Passive-Stacks, Q-Resetziele, E, W-Reduktion, R-Markierung.</x:v>
      </x:c>
      <x:c r="M21" s="3" t="str">
        <x:v>E-Miss, W beendet und Q ohne Reset verbraucht. BORK-Komplettierung ist gegnerischer Spike, kein eigener Angriffsbefehl.</x:v>
      </x:c>
      <x:c r="N21" s="3" t="str">
        <x:v>Mit vier Stacks und mehreren Q-Healzielen kämpfen. R vor ihrer Fluchtkette. W-Reduktion vollständig mit Autos füttern.</x:v>
      </x:c>
      <x:c r="O21" s="3" t="str">
        <x:v>Früh kontrollierte Prio. Freeze eigene Seite ohne viele niedrige Minions, die ihr perfekte Dashes bieten. Nach gewonnenem Trade vollständig crashen.</x:v>
      </x:c>
      <x:c r="P21" s="3" t="str">
        <x:v>Q aus Winkel, E sidesteppen. Ihre W abwarten, nach Q-Landung Auto–W–Auto–E. Kurze Qs und so positionieren, dass sie für den nächsten Reset vom Kampf wegmuss.</x:v>
      </x:c>
      <x:c r="Q21" s="3" t="str">
        <x:v>Ravenous Hydra, danach Death’s Dance. Stridebreaker statt Hydra, wenn Dash-Endpunkte erreichbar sind und Slow den Rückweg schließt.</x:v>
      </x:c>
      <x:c r="R21" s="3" t="str">
        <x:v>Executioner’s gegen Lifesteal, besonders ohne Ignite. Randuin’s nur bei tatsächlichem Crit-Ausbau. Sterak’s gegen Burst. Keine gedankenlose Crit-Antwort auf ihre BORK.</x:v>
      </x:c>
      <x:c r="S21" s="3" t="str">
        <x:v>1 Item: BORK-Spike verändert HP-Schwellen. 2 Items: Wave und Defensive entscheiden. 3 Items: starke Irelia kann weiter mit Resets gewinnen; Olaf gewinnt eher auf leerer Lane mit R. Kein pauschaler Outscale-Spruch.</x:v>
      </x:c>
      <x:c r="T21" s="3" t="str">
        <x:v>Schau zuerst auf Passive und Minion-HP. Warte auf E/W und kämpfe auf möglichst leerer Lane. Halte R bis zu einem Kontakt, den sie nicht einfach mit mehreren Q-Resets auflösen kann.</x:v>
      </x:c>
      <x:c r="U21" s="3" t="str">
        <x:v>PTA, wenn Irelia bereits ohne W/Resets zuverlässig festgehalten wird oder dein Hauptziel eine fragile Backline ist.</x:v>
      </x:c>
      <x:c r="V21"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21" s="3" t="str">
        <x:v>26.18</x:v>
      </x:c>
      <x:c r="X21" s="3" t="str">
        <x:v>10.09.2026</x:v>
      </x:c>
      <x:c r="Y21" s="3" t="str">
        <x:v>D</x:v>
      </x:c>
      <x:c r="Z21" s="3" t="str">
        <x:v>C</x:v>
      </x:c>
      <x:c r="AA21" s="3" t="str">
        <x:v>C</x:v>
      </x:c>
      <x:c r="AB21" s="3" t="str">
        <x:v>Tier beibehalten. Lane D, späte Side C: Passive und Minion-Resets geben Irelia starke Lane-Fenster. Auf leerer Lane und nach E/W kann Olaf den längeren Kampf gewinnen. Die Wave entscheidet stärker als ein pauschaler Champion-Statcheck.</x:v>
      </x:c>
    </x:row>
    <x:row r="22" ht="145" customHeight="1">
      <x:c r="A22" s="3" t="str">
        <x:v>Jax</x:v>
      </x:c>
      <x:c r="B22" s="3" t="str">
        <x:v>C</x:v>
      </x:c>
      <x:c r="C22" s="3" t="str">
        <x:v>Jax-E blockiert Autos und Lifesteal, Olafs E bleibt als Antwort verfügbar. Nach Counter Strike existieren frühe lange Killfenster, besonders nach offensivem Q. Häufigere E-Zyklen erschweren die späte Side, begründen aber kein F für das gesamte Matchup.</x:v>
      </x:c>
      <x:c r="D22" s="3" t="str">
        <x:v>Conqueror</x:v>
      </x:c>
      <x:c r="E22" s="3" t="str">
        <x:v>PTA wird durch E und Q häufig vor dem dritten Treffer unterbrochen. Q und E können Conqueror aufbauen und der Fight muss nach Counter Strike weitergehen. Kein Vorteil während Auto-Dodge behauptet.</x:v>
      </x:c>
      <x:c r="F22" s="3" t="str">
        <x:v>Doran’s Blade + Health Potion</x:v>
      </x:c>
      <x:c r="G22" s="3" t="str">
        <x:v>Flash + Ghost</x:v>
      </x:c>
      <x:c r="H22" s="3" t="str">
        <x:v>Plated Steelcaps früh. Gemischter Schaden braucht später mehr als Armor.</x:v>
      </x:c>
      <x:c r="I22" s="3" t="str">
        <x:v>Nicht blind E-Start angreifen. Q zum Abstandhalten, E auslaufen lassen, dann mögliche Verlängerung. Passive-gestackten Jax nicht im Minionüberschuss statchecken.</x:v>
      </x:c>
      <x:c r="J22" s="3" t="str">
        <x:v>Nach E-Ende Druck, falls Q nicht sicher zurück zum Turm führt. E-Schaden von Olaf kann Jax während Dodge treffen. Danach W für tatsächliche Autos aufheben.</x:v>
      </x:c>
      <x:c r="K22" s="3" t="str">
        <x:v>Olaf-R gegen Stun einsetzen, aber Counter Strike weiterhin aussitzen. Jax-R liefert Resistenzen/Schaden, Q kann R-Uptime brechen. Ein R-Tausch ist noch kein Kill.</x:v>
      </x:c>
      <x:c r="L22" s="3" t="str">
        <x:v>E-Dodge, Q-Disengage, Passiv-AS, R-Defensive/on-hit.</x:v>
      </x:c>
      <x:c r="M22" s="3" t="str">
        <x:v>E gerade vorbei und Q offensiv verbraucht. Am besten zusätzlich wenig Passive-Stacks. Gegen E plus Q verfügbar ist ein Q-Treffer allein zu wenig.</x:v>
      </x:c>
      <x:c r="N22" s="3" t="str">
        <x:v>W-Attacks in Counter Strike verschwenden. Annehmen, R mache Autos treffsicher. E-Cooldown später wie früh behandeln.</x:v>
      </x:c>
      <x:c r="O22" s="3" t="str">
        <x:v>Wave auf eigener Seite und E-Verbrauch fürs Pushen bestrafen. Crash nach gewonnenem Trade. Nicht ohne R eine große zurücklaufende Wave halten müssen.</x:v>
      </x:c>
      <x:c r="P22" s="3" t="str">
        <x:v>Q-Poke, bei Jax-E Abstand und eigenes E falls sicher. Nach E-Ende Q–Auto–W–Auto. R bei Stunbedrohung und nur weiterjagen, wenn Q-Fluchtweg kontrolliert ist.</x:v>
      </x:c>
      <x:c r="Q22" s="3" t="str">
        <x:v>Ravenous Hydra für Sustain/neutralen Waveclear, danach Death’s Dance gegen physischen Anteil. Stridebreaker bei realem Catch-Plan, kein garantierter Jax-Counter.</x:v>
      </x:c>
      <x:c r="R22" s="3" t="str">
        <x:v>Frozen Heart bei mehreren Auto-Angreifern und eigener ausreichender Schadensbasis. MR bei hohem magischem Anteil. Kein früher Kritlaf: Dodge negiert die gekauften Autos.</x:v>
      </x:c>
      <x:c r="S22" s="3" t="str">
        <x:v>1 Item: nach E-Verbrauch und offensivem Q aktiv Killdruck suchen. 2 Items: häufigere E-Zyklen verlangen kürzere Zwischenpausen und gutes eigenes W-Timing. 3 Items: Jax kann im wiederholten Duell Vorteile haben; eigener Vorsprung und Build bleiben entscheidend, kein automatisches Side-Verbot.</x:v>
      </x:c>
      <x:c r="T22" s="3" t="str">
        <x:v>Bestrafe Counter Strike mit Abstand und eigenem E, halte W für treffende Autos danach. Nach offensivem Jax-Q kann der lange Rückweg dein Killfenster sein. Spiele frühe Vorteile aktiv aus; bewerte spätere Duelle nach E-Zyklen und Items neu.</x:v>
      </x:c>
      <x:c r="U22" s="3" t="str">
        <x:v>PTA nur wenn Jax nicht dein Ziel ist und die übrige Comp kurze Carry-Kills erlaubt. Die Lane wird dadurch nicht leichter.</x:v>
      </x:c>
      <x:c r="V22"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22" s="3" t="str">
        <x:v>26.18</x:v>
      </x:c>
      <x:c r="X22" s="3" t="str">
        <x:v>10.09.2026</x:v>
      </x:c>
      <x:c r="Y22" s="3" t="str">
        <x:v>C</x:v>
      </x:c>
      <x:c r="Z22" s="3" t="str">
        <x:v>D</x:v>
      </x:c>
      <x:c r="AA22" s="3" t="str">
        <x:v>F</x:v>
      </x:c>
      <x:c r="AB22" s="3" t="str">
        <x:v>Tier F → C. Lane C, späte Side D: Jax-E blockiert Autos und Lifesteal, Olafs E bleibt als Antwort verfügbar. Nach Counter Strike existieren frühe lange Killfenster, besonders nach offensivem Q. Häufigere E-Zyklen erschweren die späte Side, begründen aber kein F für das gesamte Matchup.</x:v>
      </x:c>
    </x:row>
    <x:row r="23" ht="145" customHeight="1">
      <x:c r="A23" s="3" t="str">
        <x:v>Jayce</x:v>
      </x:c>
      <x:c r="B23" s="3" t="str">
        <x:v>B</x:v>
      </x:c>
      <x:c r="C23" s="3" t="str">
        <x:v>Jayce kann vor 6 mit Poke und Hammer-E Abstand halten. Olaf erhält auf 6 einen neuen Zugriff, während Jayce keinen neuen Ultimate-Button bekommt. Gesundes Ankommen bleibt die Bedingung.</x:v>
      </x:c>
      <x:c r="D23" s="3" t="str">
        <x:v>PTA</x:v>
      </x:c>
      <x:c r="E23" s="3" t="str">
        <x:v>Nach verbrauchtem Hammer-E bekommt Olaf mehrere Autos, bevor Jayce erneut Abstand gewinnt. PTA passt zum kurzen Kontaktfenster.</x:v>
      </x:c>
      <x:c r="F23" s="3" t="str">
        <x:v>Doran’s Shield + Health Potion</x:v>
      </x:c>
      <x:c r="G23" s="3" t="str">
        <x:v>Flash + Ghost</x:v>
      </x:c>
      <x:c r="H23" s="3" t="str">
        <x:v>Plated Steelcaps gegen Autos. Frühe Boots zum Shock-Blast-Dodging.</x:v>
      </x:c>
      <x:c r="I23" s="3" t="str">
        <x:v>Jayce hat Reichweitenkontrolle, Olaf gewinnt erreichbaren langen Kontakt. Q für Drohung/Farm, Bush-Deckung nutzen, nicht für jedes CS zwei Autos nehmen.</x:v>
      </x:c>
      <x:c r="J23" s="3" t="str">
        <x:v>Hammer-E und Gate beobachten. Nach E-Verbrauch mit Q nachsetzen. Sein R ist ab Level 1 verfügbar: nicht wie klassischen Level-6-Ultgegner behandeln.</x:v>
      </x:c>
      <x:c r="K23" s="3" t="str">
        <x:v>Olaf bekommt echten R-Spike, Jayce keinen neuen Ultimate-Button. Knockback verhindern und Tempo für Gate aufheben. Poke vor Kontakt bleibt gefährlich.</x:v>
      </x:c>
      <x:c r="L23" s="3" t="str">
        <x:v>Cannon-Q+E, Hammer-E, Cannon-W-Autofolge, Formwechsel.</x:v>
      </x:c>
      <x:c r="M23" s="3" t="str">
        <x:v>Hammer-E verbraucht und Gate bereits benutzt. Q-Poke-Miss senkt den Schaden vor dem Anlauf.</x:v>
      </x:c>
      <x:c r="N23" s="3" t="str">
        <x:v>Mit halber HP in seine komplette Burstrotation. R außerhalb Chase-Reichweite. Frühe Formwechsel-Cooldowns ignorieren.</x:v>
      </x:c>
      <x:c r="O23" s="3" t="str">
        <x:v>Push annehmen, Wave dünnen und eigene Seite. Mit HP-Vorteil Slowpush crashen, damit Poke nicht unter eigenem Turm endlos bleibt.</x:v>
      </x:c>
      <x:c r="P23" s="3" t="str">
        <x:v>Shock Blast dodgen, Q treffen, Hammer-E erzwingen. Zweite Q und R bei Kontakt, Auto–W–Auto für PTA. Ghost für Gate-Rückzug nutzen.</x:v>
      </x:c>
      <x:c r="Q23" s="3" t="str">
        <x:v>Stridebreaker für Kontakt, danach Death’s Dance gegen AD-Burst. Ravenous Hydra statt Stride, wenn Lane-Sustain den Zugang erst ermöglicht.</x:v>
      </x:c>
      <x:c r="R23" s="3" t="str">
        <x:v>Sterak’s gegen vollständige Combo. Fiendhunter Bolts nach AD-Core nur bei Vorsprung und sicherem Zugriff. Kein Crit-Item statt notwendiger früher Defensive.</x:v>
      </x:c>
      <x:c r="S23" s="3" t="str">
        <x:v>1 Item: Olaf-R kann Lane drehen, Jayce-Poke bleibt stark. 2 Items: gute Catch-Situation favorisiert Olaf. 3 Items: Jayce hat starke Fernbelagerung, direkte Side hängt an Tempo und HP vor Kontakt.</x:v>
      </x:c>
      <x:c r="T23" s="3" t="str">
        <x:v>Erhalte HP bis zum echten Anlauf. Nach Hammer-E und Gate öffnet sich die Lane. Ab 6 nutze R gegen Knockback und zwinge einen kurzen, zusammenhängenden Auto-Fight.</x:v>
      </x:c>
      <x:c r="U23" s="3" t="str">
        <x:v>Conqueror, wenn Jayce defensiv baut und du im Gesamtspiel lange Frontline-Duelle erwartest.</x:v>
      </x:c>
      <x:c r="V23"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23" s="3" t="str">
        <x:v>26.18</x:v>
      </x:c>
      <x:c r="X23" s="3" t="str">
        <x:v>10.09.2026</x:v>
      </x:c>
      <x:c r="Y23" s="3" t="str">
        <x:v>C</x:v>
      </x:c>
      <x:c r="Z23" s="3" t="str">
        <x:v>B</x:v>
      </x:c>
      <x:c r="AA23" s="3" t="str">
        <x:v>B</x:v>
      </x:c>
      <x:c r="AB23" s="3" t="str">
        <x:v>Tier beibehalten. Lane C, späte Side B: Jayce kann vor 6 mit Poke und Hammer-E Abstand halten. Olaf erhält auf 6 einen neuen Zugriff, während Jayce keinen neuen Ultimate-Button bekommt. Gesundes Ankommen bleibt die Bedingung.</x:v>
      </x:c>
    </x:row>
    <x:row r="24" ht="145" customHeight="1">
      <x:c r="A24" s="3" t="str">
        <x:v>K’Sante</x:v>
      </x:c>
      <x:c r="B24" s="3" t="str">
        <x:v>B</x:v>
      </x:c>
      <x:c r="C24" s="3" t="str">
        <x:v>Olafs E und R helfen gegen Tankwerte und Kontrolle. K’Santes W-/All-Out-Fenster können das Duell dennoch drehen. Der leichte Vorteil setzt sauberes Dodging und das Erkennen seiner neuen Cooldown-Situation voraus.</x:v>
      </x:c>
      <x:c r="D24" s="3" t="str">
        <x:v>Conqueror</x:v>
      </x:c>
      <x:c r="E24" s="3" t="str">
        <x:v>Shield- und W-Phasen plus hohe effektive HP erfordern mehrere E-Zyklen. Conqueror statt eines kurzen Dreiertrades gegen seine Defensive.</x:v>
      </x:c>
      <x:c r="F24" s="3" t="str">
        <x:v>Doran’s Blade + Health Potion</x:v>
      </x:c>
      <x:c r="G24" s="3" t="str">
        <x:v>Flash + Ghost</x:v>
      </x:c>
      <x:c r="H24" s="3" t="str">
        <x:v>Frühe Boots zum Q/W-Ausweichen. Steelcaps bei vielen Autos.</x:v>
      </x:c>
      <x:c r="I24" s="3" t="str">
        <x:v>Olaf im langen Kontakt, K’Sante im kurzen Q–Auto. Q treffen und seine nächste Q seitlich vermeiden. Keine freien Passiv-Autos für einzelne CS.</x:v>
      </x:c>
      <x:c r="J24" s="3" t="str">
        <x:v>Nach Q3 und W-Verbrauch Druck. Nicht in den W-Dash laufen. E zu Minions kann den Chase beenden, deshalb Fluchtrichtung lesen.</x:v>
      </x:c>
      <x:c r="K24" s="3" t="str">
        <x:v>R verhindert Verdrängung bei rechtzeitigem Einsatz, aber All-Out-Schaden bleibt gefährlich. Mit R-Transformation kann sein W erneut bereit sein: nie einfach einen alten W-Cooldown weiterzählen.</x:v>
      </x:c>
      <x:c r="L24" s="3" t="str">
        <x:v>Q3, W-Defensive/Dash, E-Schild, R und All-Out-W.</x:v>
      </x:c>
      <x:c r="M24" s="3" t="str">
        <x:v>W und E verbraucht, keine verfügbare R-Resetmöglichkeit. Q3 verfehlt öffnet vor 6 eine kurze Kontaktphase.</x:v>
      </x:c>
      <x:c r="N24" s="3" t="str">
        <x:v>An Turm/Wand ohne R stehen. W-Reset nach R vergessen. CC-Immunität mit Immunität gegen All-Out-Schaden verwechseln.</x:v>
      </x:c>
      <x:c r="O24" s="3" t="str">
        <x:v>Kontrollierter Slowpush/Crash, danach eigene Seite für längere Trades. Keine große gegnerische Wave vor dem Turm tanken, während sein All-in bereit ist.</x:v>
      </x:c>
      <x:c r="P24" s="3" t="str">
        <x:v>Q treffen, Q3 sidesteppen, W abwarten. Auto–W–Auto–E nach Defensive. Bei All Out neu positionieren und den zweiten W-Dash vermeiden, dann weiterkämpfen.</x:v>
      </x:c>
      <x:c r="Q24" s="3" t="str">
        <x:v>Ravenous Hydra, danach Black Cleaver gegen Armor. Bei AD-Comp Death’s Dance vor zusätzlicher Penetration, wenn Überleben der Engstelle entscheidend ist.</x:v>
      </x:c>
      <x:c r="R24" s="3" t="str">
        <x:v>Sterak’s gegen All-Out-Burst. BORK nur bei HP-lastigem Build und genug Uptime. Hullbreaker, wenn er dauerhaft gruppiert und du sicher Türme nehmen kannst.</x:v>
      </x:c>
      <x:c r="S24" s="3" t="str">
        <x:v>1 Item: Olaf kann Tankform gut unter Druck setzen. 2 Items: W/All-Out-Ausführung entscheidet. 3 Items: weiter spielbar mit Armorantwort, aber sein Team-Peel skaliert. Keine lineare „Tank = freier Kill“-Annahme.</x:v>
      </x:c>
      <x:c r="T24" s="3" t="str">
        <x:v>Verlängere nach W und halte Abstand zu gefährlichen Wänden. Mit All Out beginnt eine neue Cooldown-Situation. Nutze R für Kontrolle und bewege dich trotzdem aus seinem hohen Schaden.</x:v>
      </x:c>
      <x:c r="U24" s="3" t="str">
        <x:v>PTA, wenn K’Sante nur gehalten wird und dein Team Carry-Zugriff vorbereitet. Für tatsächliches Durchkämpfen Conqueror.</x:v>
      </x:c>
      <x:c r="V24" s="3" t="str">
        <x:v>Eigene qualitative Einschätzung, keine getestete optimale Spielweise. Gesamt-Tier meist mit etwa einer Stufe Spielraum. Lane und Side sind getrennte Phasenurteile; Teamcomp, Gold, Level und Build können sie verschieben. Statistik nur Patch 26.17, Kit-Abgleich mit 26.18. Erhöhte Unsicherheit durch Kit-Revisionen bzw. aktuellen Buff.</x:v>
      </x:c>
      <x:c r="W24" s="3" t="str">
        <x:v>26.18</x:v>
      </x:c>
      <x:c r="X24" s="3" t="str">
        <x:v>10.09.2026</x:v>
      </x:c>
      <x:c r="Y24" s="3" t="str">
        <x:v>C</x:v>
      </x:c>
      <x:c r="Z24" s="3" t="str">
        <x:v>C</x:v>
      </x:c>
      <x:c r="AA24" s="3" t="str">
        <x:v>B</x:v>
      </x:c>
      <x:c r="AB24" s="3" t="str">
        <x:v>Tier beibehalten. Lane C, späte Side C: Olafs E und R helfen gegen Tankwerte und Kontrolle. K’Santes W-/All-Out-Fenster können das Duell dennoch drehen. Der leichte Vorteil setzt sauberes Dodging und das Erkennen seiner neuen Cooldown-Situation voraus.</x:v>
      </x:c>
    </x:row>
    <x:row r="25" ht="145" customHeight="1">
      <x:c r="A25" s="3" t="str">
        <x:v>Kayle</x:v>
      </x:c>
      <x:c r="B25" s="3" t="str">
        <x:v>C</x:v>
      </x:c>
      <x:c r="C25" s="3" t="str">
        <x:v>Olaf hat eine reale frühe Denial- und Killphase, die vorher vom späten Scaling überdeckt wurde. Kayles R und spätere Reichweite verlangen, diesen Vorteil umzusetzen. Gesamt ausgeglichen mit klar unterschiedlicher Zeitpräferenz.</x:v>
      </x:c>
      <x:c r="D25" s="3" t="str">
        <x:v>PTA</x:v>
      </x:c>
      <x:c r="E25" s="3" t="str">
        <x:v>Nach Q/W-Verbrauch ist ein kurzes Killfenster vor sicherem Rückzug relevant. PTA hilft, bevor sie ihren nächsten Abstandszugang bekommt. Späteres Invulnerability-Fenster muss trotzdem ausgesessen werden.</x:v>
      </x:c>
      <x:c r="F25" s="3" t="str">
        <x:v>Doran’s Blade + Health Potion</x:v>
      </x:c>
      <x:c r="G25" s="3" t="str">
        <x:v>Flash + Ghost</x:v>
      </x:c>
      <x:c r="H25" s="3" t="str">
        <x:v>Boots früh zum Kontakt. Mercury’s nur gegen relevante AP/CC-Comp.</x:v>
      </x:c>
      <x:c r="I25" s="3" t="str">
        <x:v>Olaf mit Q-Resets, aber Kayle mit gestackter Passive und Kampfrune nicht blind anfassen. Erst Stacks/Wave prüfen, dann zonen.</x:v>
      </x:c>
      <x:c r="J25" s="3" t="str">
        <x:v>Wavezugang bestrafen, nach Q-Miss anlaufen. W-Tempo auslösen und zweite Q/Ghost dafür behalten. Nicht per Dauerpush sichere XP schenken.</x:v>
      </x:c>
      <x:c r="K25" s="3" t="str">
        <x:v>Kayle wird ranged und erhält R als Schadensschutz. R herauslocken, sicher folgen und E/Finisher für danach halten. Level 11 verstärkt DPS und Waves; die zusätzliche Angriffsreichweite kommt auf 16, nicht 11.</x:v>
      </x:c>
      <x:c r="L25" s="3" t="str">
        <x:v>Q-Slow/Resistenzsenkung, W-Tempo, Passiv-Stacks, R-Invulnerability.</x:v>
      </x:c>
      <x:c r="M25" s="3" t="str">
        <x:v>R verbraucht plus W fehlt. Vor 6 Q-Miss bei langer Lane. Ab 11 höheren DPS und ab 16 zusätzliche Range berücksichtigen.</x:v>
      </x:c>
      <x:c r="N25" s="3" t="str">
        <x:v>Volles Damagepaket in R. Level-1-Kayle pauschal schwach nennen. Bei Gleichstand bis drei Items nur farmen.</x:v>
      </x:c>
      <x:c r="O25" s="3" t="str">
        <x:v>Früh Slowpush crashen, Bounce einfrieren und XP/Gold bedrohen. Freeze lösen für sicheren Turm-/Objective-Gewinn. Hydra kann Freeze-Kontrolle erschweren.</x:v>
      </x:c>
      <x:c r="P25" s="3" t="str">
        <x:v>Q treffen, W-Tempo verfolgen, Auto–W–Auto–E. Kayle-R erzwingen, aus maximaler Gegen-DPS repositionieren und nach Ende nächste Q/Autos. Nicht gedankenlos unter Turm warten.</x:v>
      </x:c>
      <x:c r="Q25" s="3" t="str">
        <x:v>Stridebreaker, danach Experimental Hexplate für wiederholte Catch-Fenster. Ravenous Hydra bei Wave-/Sustainbedarf, aber ohne Slow etwas schwerer nachzusetzen.</x:v>
      </x:c>
      <x:c r="R25" s="3" t="str">
        <x:v>Maw bei AP-Kayle/weiterem AP. Bei Führung Fiendhunter Bolts nach AD-Core, wenn R bereits gezogen ist. Kein Burst-Ausbau als Antwort auf aktive Invulnerability.</x:v>
      </x:c>
      <x:c r="S25" s="3" t="str">
        <x:v>1 Item: frühe Lane noch ausnutzbar. 2 Items: R und eigener Kontakt entscheiden, Kayle wird gefährlicher. 3 Items/hohe Level: offene Side eher Kayle. Früh Türme nehmen und sie zu Antworten zwingen.</x:v>
      </x:c>
      <x:c r="T25" s="3" t="str">
        <x:v>Nutze die ersten Waves, um einen langen Rückweg für Kayle zu schaffen. Ziehe R und greife im nächsten Fenster wieder an. Gleichstand bis ins späte Spiel ist für Olaf meist kein gewonnener Plan.</x:v>
      </x:c>
      <x:c r="U25" s="3" t="str">
        <x:v>Conqueror, wenn Kayle defensiv baut und du lange Frontline-Kämpfe statt kurzer Kayle-Catches spielen musst.</x:v>
      </x:c>
      <x:c r="V25"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25" s="3" t="str">
        <x:v>26.18</x:v>
      </x:c>
      <x:c r="X25" s="3" t="str">
        <x:v>10.09.2026</x:v>
      </x:c>
      <x:c r="Y25" s="3" t="str">
        <x:v>A</x:v>
      </x:c>
      <x:c r="Z25" s="3" t="str">
        <x:v>E</x:v>
      </x:c>
      <x:c r="AA25" s="3" t="str">
        <x:v>D</x:v>
      </x:c>
      <x:c r="AB25" s="3" t="str">
        <x:v>Tier D → C. Lane A, späte Side E: Olaf hat eine reale frühe Denial- und Killphase, die vorher vom späten Scaling überdeckt wurde. Kayles R und spätere Reichweite verlangen, diesen Vorteil umzusetzen. Gesamt ausgeglichen mit klar unterschiedlicher Zeitpräferenz.</x:v>
      </x:c>
    </x:row>
    <x:row r="26" ht="145" customHeight="1">
      <x:c r="A26" s="3" t="str">
        <x:v>Kennen</x:v>
      </x:c>
      <x:c r="B26" s="3" t="str">
        <x:v>A</x:v>
      </x:c>
      <x:c r="C26" s="3" t="str">
        <x:v>Nach verbrauchtem E kann Olaf ab 6 den Stun übergehen und nah bleiben. Kennen darf vorher keinen großen HP-Vorsprung aufbauen. Sein Teamfight ist gefährlicher als sein ungeschütztes Side-Duell.</x:v>
      </x:c>
      <x:c r="D26" s="3" t="str">
        <x:v>PTA</x:v>
      </x:c>
      <x:c r="E26" s="3" t="str">
        <x:v>Nach verbrauchtem E sind drei Autos realistisch und das Killfenster kurz. Conqueror lädt gegen ständigen Rückzug häufig zu spät auf.</x:v>
      </x:c>
      <x:c r="F26" s="3" t="str">
        <x:v>Doran’s Shield + Health Potion</x:v>
      </x:c>
      <x:c r="G26" s="3" t="str">
        <x:v>Flash + Ghost</x:v>
      </x:c>
      <x:c r="H26" s="3" t="str">
        <x:v>Frühe Boots; Mercury’s Treads bei zusätzlichem AP/CC.</x:v>
      </x:c>
      <x:c r="I26" s="3" t="str">
        <x:v>Kennen kontrolliert mit Reichweite. Olaf gewinnt nur mit Q-Treffer und langem Rückweg. CS abgeben, statt für jeden Minion einen Auto zu nehmen.</x:v>
      </x:c>
      <x:c r="J26" s="3" t="str">
        <x:v>Hinter Minions Q blocken; verstärkten W-Auto beobachten. Nach offensivem E und ohne vorbereitete Stun-Marken anlaufen.</x:v>
      </x:c>
      <x:c r="K26" s="3" t="str">
        <x:v>R vor dem entscheidenden Stun oder zum Befreien nutzen. Kennens R verursacht trotzdem Schaden; angeschlagen kein automatischer Sieg.</x:v>
      </x:c>
      <x:c r="L26" s="3" t="str">
        <x:v>E-Flucht, passive Stun-Marken, W-verstärkter Auto, R-Schaden.</x:v>
      </x:c>
      <x:c r="M26" s="3" t="str">
        <x:v>E verbraucht und Kennen weit vom Turm. R fehlt: auch ein zweiter Angriff nach Reset möglich.</x:v>
      </x:c>
      <x:c r="N26" s="3" t="str">
        <x:v>R ohne erreichbares Ziel zünden; mehrfach gratis W-Autos nehmen; mit wenig HP in seine gesamte R laufen.</x:v>
      </x:c>
      <x:c r="O26" s="3" t="str">
        <x:v>Anfangs auf eigener Seite sammeln und ausdünnen. Nach erzwungenem E Slowpush und Crash. Kein erzwungener erster Cheater gegen sein Poke.</x:v>
      </x:c>
      <x:c r="P26" s="3" t="str">
        <x:v>Q aus sicherem Winkel treffen, anlaufen und E-Flucht abwarten. Ghost für Restdistanz; R beim Stun, Auto–W–Auto–Auto und kurze Qs.</x:v>
      </x:c>
      <x:c r="Q26" s="3" t="str">
        <x:v>Stridebreaker für Kontakt, danach Maw of Malmortius bei relevantem AP-Burst. Ravenous Hydra als Alternative, wenn Poke statt Flucht das Problem ist.</x:v>
      </x:c>
      <x:c r="R26" s="3" t="str">
        <x:v>Sterak’s gegen gemischten Burst statt Maw; Fiendhunter Bolts bei Vorsprung und zuverlässig erreichbaren Backline-Zielen.</x:v>
      </x:c>
      <x:c r="S26" s="3" t="str">
        <x:v>1 Item: Stride eröffnet Catches. 2 Items: mit MR gute Side bei verfügbarer R. 3 Items: Kennen kann sicher clearen; sein Teamfight bleibt stärker als sein isoliertes Duell.</x:v>
      </x:c>
      <x:c r="T26" s="3" t="str">
        <x:v>Lass dich vor 6 nicht für jeden CS herunterpoken. Nutze Kennens E als Startsignal und halte die Lane lang. Mit R kannst du seinen Stun übergehen, aber nicht seinen Schaden.</x:v>
      </x:c>
      <x:c r="U26" s="3" t="str">
        <x:v>Conqueror, wenn Kennen nur dein Lane-Gegner ist und du im Gesamtspiel hauptsächlich mehrere Bruiser bekämpfst.</x:v>
      </x:c>
      <x:c r="V26"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26" s="3" t="str">
        <x:v>26.18</x:v>
      </x:c>
      <x:c r="X26" s="3" t="str">
        <x:v>10.09.2026</x:v>
      </x:c>
      <x:c r="Y26" s="3" t="str">
        <x:v>B</x:v>
      </x:c>
      <x:c r="Z26" s="3" t="str">
        <x:v>B</x:v>
      </x:c>
      <x:c r="AA26" s="3" t="str">
        <x:v>A</x:v>
      </x:c>
      <x:c r="AB26" s="3" t="str">
        <x:v>Tier beibehalten. Lane B, späte Side B: Nach verbrauchtem E kann Olaf ab 6 den Stun übergehen und nah bleiben. Kennen darf vorher keinen großen HP-Vorsprung aufbauen. Sein Teamfight ist gefährlicher als sein ungeschütztes Side-Duell.</x:v>
      </x:c>
    </x:row>
    <x:row r="27" ht="145" customHeight="1">
      <x:c r="A27" s="3" t="str">
        <x:v>Kled</x:v>
      </x:c>
      <x:c r="B27" s="3" t="str">
        <x:v>D</x:v>
      </x:c>
      <x:c r="C27" s="3" t="str">
        <x:v>W-Burst und Remount machen Fehler teuer. Nach verbrauchtem W und bei kontrollierter Courage besitzt Olaf aber echte Gegenfenster. Kled-Q hat keinen eingebauten Antiheal mehr; darauf darf kein negativer Tier beruhen.</x:v>
      </x:c>
      <x:c r="D27" s="3" t="str">
        <x:v>Conqueror</x:v>
      </x:c>
      <x:c r="E27" s="3" t="str">
        <x:v>Dismount, Courage und erneuter Kontakt machen das All-in länger als einen PTA-Proc. Conqueror passt zur notwendigen zweiten Schadensphase.</x:v>
      </x:c>
      <x:c r="F27" s="3" t="str">
        <x:v>Doran’s Blade + Health Potion</x:v>
      </x:c>
      <x:c r="G27" s="3" t="str">
        <x:v>Flash + Ghost</x:v>
      </x:c>
      <x:c r="H27" s="3" t="str">
        <x:v>Plated Steelcaps früh gegen sein Auto-Fenster.</x:v>
      </x:c>
      <x:c r="I27" s="3" t="str">
        <x:v>Olaf gewinnt längeren Kontakt nach verfehltem Q. Gegen getroffenes Q nicht bis zum Rückzug überdehnen. Kleds zweite Lebensphase mitrechnen.</x:v>
      </x:c>
      <x:c r="J27" s="3" t="str">
        <x:v>W auf Minions auslösen lassen; nach Ende der schnellen Autos angreifen. Seine weiteren Autos verkürzen den W-Cooldown, also kein starres langes Fenster annehmen. E2-Zugang und Courage prüfen.</x:v>
      </x:c>
      <x:c r="K27" s="3" t="str">
        <x:v>Kled-R eröffnet Ganks und Rotationen. Olaf-R hilft gegen CC, verhindert aber weder Kleds Remount noch dessen Schaden.</x:v>
      </x:c>
      <x:c r="L27" s="3" t="str">
        <x:v>W-Autos mit Cooldown-Verkürzung, Q-Zug/Slow, E-Recast, unmounted Q und Courage. Q hat seit 25.14 keine eingebaute Heilungsreduktion mehr.</x:v>
      </x:c>
      <x:c r="M27" s="3" t="str">
        <x:v>W verbraucht und weiterer Auto-Zugang begrenzt; E verfehlt; Kled unmounted mit wenig Courage. Bei voller Courage kommen Remount-HP sofort, daher nicht auf eine letzte Animationslücke setzen.</x:v>
      </x:c>
      <x:c r="N27" s="3" t="str">
        <x:v>Remount ignorieren; mit wenig HP seine volle W tanken; ein starres W-Fenster trotz weiterer Kled-Autos annehmen; mit altem Q-Antiheal-Wissen planen.</x:v>
      </x:c>
      <x:c r="O27" s="3" t="str">
        <x:v>Wave nahe eigener Seite halten und nicht riesig werden lassen. Nach seinem Roam Crash erzwingen, falls kein sinnvoller Gegenlauf möglich ist.</x:v>
      </x:c>
      <x:c r="P27" s="3" t="str">
        <x:v>Q-Poke, W-Verbrauch abwarten, Q–Auto–E. Beim Dismount Flucht-Q antizipieren; nur weiter, wenn du ihn vor Remount töten oder die zweite Phase überstehen kannst.</x:v>
      </x:c>
      <x:c r="Q27" s="3" t="str">
        <x:v>Ravenous Hydra für Reset-Sustain, dann Death’s Dance. Stridebreaker, wenn seine E-Flucht statt Lane-HP das Hauptproblem ist.</x:v>
      </x:c>
      <x:c r="R27" s="3" t="str">
        <x:v>Sterak’s als Burstpuffer; Executioner’s gegen weitere Heiler, aber nicht als verlässlichen Schalter zum Abschalten von Kleds Remount behandeln.</x:v>
      </x:c>
      <x:c r="S27" s="3" t="str">
        <x:v>1 Item: sein W/Remount bleibt gefährlich. 2 Items: Armor und eigener Sustain helfen bei sauberem Einstieg. 3 Items: kein blinder Statcheck; HP-Phasen entscheiden weiterhin.</x:v>
      </x:c>
      <x:c r="T27" s="3" t="str">
        <x:v>Lass Kled zuerst seine W-Autos verbrauchen. Plane den Kampf über Dismount hinaus und prüfe Courage. Ein abgebrochener Angriff ist besser als ihm auf wenig eigenen HP den Remount zu schenken.</x:v>
      </x:c>
      <x:c r="U27" s="3" t="str">
        <x:v>PTA nur für ein Team mit kurzen Catches; auf der Side bleibt Conqueror die verlässlichere Wahl.</x:v>
      </x:c>
      <x:c r="V27"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27" s="3" t="str">
        <x:v>26.18</x:v>
      </x:c>
      <x:c r="X27" s="3" t="str">
        <x:v>10.09.2026</x:v>
      </x:c>
      <x:c r="Y27" s="3" t="str">
        <x:v>D</x:v>
      </x:c>
      <x:c r="Z27" s="3" t="str">
        <x:v>C</x:v>
      </x:c>
      <x:c r="AA27" s="3" t="str">
        <x:v>E</x:v>
      </x:c>
      <x:c r="AB27" s="3" t="str">
        <x:v>Tier E → D. Lane D, späte Side C: W-Burst und Remount machen Fehler teuer. Nach verbrauchtem W und bei kontrollierter Courage besitzt Olaf aber echte Gegenfenster. Kled-Q hat keinen eingebauten Antiheal mehr; darauf darf kein negativer Tier beruhen.</x:v>
      </x:c>
    </x:row>
    <x:row r="28" ht="145" customHeight="1">
      <x:c r="A28" s="3" t="str">
        <x:v>Malphite</x:v>
      </x:c>
      <x:c r="B28" s="3" t="str">
        <x:v>B</x:v>
      </x:c>
      <x:c r="C28" s="3" t="str">
        <x:v>E-True-Damage und R erlauben Olaf einen sinnvollen Plan gegen Armor und CC. Malphite kann mit Q-Tempo und R Kämpfe verweigern. Vorteil im Duell bedeutet keinen automatischen Sieg über seinen Team-Engage.</x:v>
      </x:c>
      <x:c r="D28" s="3" t="str">
        <x:v>Conqueror</x:v>
      </x:c>
      <x:c r="E28" s="3" t="str">
        <x:v>Schild, Armor und wiederholte Q-Rückzüge verlängern das Matchup. Drei schnelle Autos allein lösen die effektiven HP nicht.</x:v>
      </x:c>
      <x:c r="F28" s="3" t="str">
        <x:v>Doran’s Shield + Health Potion</x:v>
      </x:c>
      <x:c r="G28" s="3" t="str">
        <x:v>Flash + Ghost</x:v>
      </x:c>
      <x:c r="H28" s="3" t="str">
        <x:v>Keine Pflicht-Upgrades; Mercury’s bei AP-Build und passender Comp.</x:v>
      </x:c>
      <x:c r="I28" s="3" t="str">
        <x:v>Olaf im langen Kontakt, Malphite im einzelnen Q-Trade. Schild mit Q brechen, aber nicht durch eine große Wave nachlaufen.</x:v>
      </x:c>
      <x:c r="J28" s="3" t="str">
        <x:v>Nach Q-Verbrauch Druck, sofern du HP und Platz hast. E-Attack-Speed-Debuff vor 6 respektieren; nicht nur Autos in seinen aktiven defensiven Trade drücken.</x:v>
      </x:c>
      <x:c r="K28" s="3" t="str">
        <x:v>R verhindert den Knock-up, wenn rechtzeitig aktiv, oder befreit nach Kontrollverlust. AP-Malphite hat weiterhin echten Burst. R nicht für einen bloßen Q-Poke verschwenden.</x:v>
      </x:c>
      <x:c r="L28" s="3" t="str">
        <x:v>Passive Schild, E-Attack-Speed-Reduktion, Q-Temposteal, R-Burst.</x:v>
      </x:c>
      <x:c r="M28" s="3" t="str">
        <x:v>Q/E verbraucht bei langer Lane; R fehlt nach misslungenem Engage. Schild noch nicht regeneriert erleichtert den nächsten Trade.</x:v>
      </x:c>
      <x:c r="N28" s="3" t="str">
        <x:v>Armor-stapelnden Malphite nur mit Autos bekämpfen; Q-Chases unter Turm; ohne HP-Puffer AP-R unterschätzen.</x:v>
      </x:c>
      <x:c r="O28" s="3" t="str">
        <x:v>Slowpush bei HP-Vorteil, sonst Bounce zu dir. Freeze zwingt ihn zu Q-Farm und Mana-Ausgaben. Crash vor Reset vollständig machen.</x:v>
      </x:c>
      <x:c r="P28" s="3" t="str">
        <x:v>Q zum Schildbrechen, nach Q-Ende erneut treffen, Auto–E–W–Auto. Kurze Äxte und E-Zyklen; abbrechen, wenn er sicher zum Turm kommt.</x:v>
      </x:c>
      <x:c r="Q28" s="3" t="str">
        <x:v>Ravenous Hydra für Sustain; Black Cleaver als zweites gegen Armor, wenn auch dein Team davon profitiert. Stridebreaker bei dauerhaftem Disengage statt Hydra.</x:v>
      </x:c>
      <x:c r="R28" s="3" t="str">
        <x:v>Maw gegen AP-Burst; Sterak’s gegen gemischte Gefahr. Kein BotRK-Rush allein wegen seiner HP: Armor reduziert dessen physischen Zusatzschaden.</x:v>
      </x:c>
      <x:c r="S28" s="3" t="str">
        <x:v>1 Item: Sustain schafft Druck. 2 Items: E und Armor-Shred erlauben längere Duelle. 3 Items: Malphite muss nicht duellieren, um mit R das Gesamtspiel zu gewinnen.</x:v>
      </x:c>
      <x:c r="T28" s="3" t="str">
        <x:v>Gewinne über wiederholte kontrollierte Trades und Wave-Druck. Behalte genug HP für einen möglichen AP-Burst. Deine bessere Side ersetzt keine rechtzeitige Antwort auf seine Teamfight-R.</x:v>
      </x:c>
      <x:c r="U28" s="3" t="str">
        <x:v>PTA, wenn Malphite nur Waveclear spielt und du ansonsten vier fragile Ziele mit kurzem Kontakt bekämpfst.</x:v>
      </x:c>
      <x:c r="V28"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28" s="3" t="str">
        <x:v>26.18</x:v>
      </x:c>
      <x:c r="X28" s="3" t="str">
        <x:v>10.09.2026</x:v>
      </x:c>
      <x:c r="Y28" s="3" t="str">
        <x:v>B</x:v>
      </x:c>
      <x:c r="Z28" s="3" t="str">
        <x:v>B</x:v>
      </x:c>
      <x:c r="AA28" s="3" t="str">
        <x:v>B</x:v>
      </x:c>
      <x:c r="AB28" s="3" t="str">
        <x:v>Tier beibehalten. Lane B, späte Side B: E-True-Damage und R erlauben Olaf einen sinnvollen Plan gegen Armor und CC. Malphite kann mit Q-Tempo und R Kämpfe verweigern. Vorteil im Duell bedeutet keinen automatischen Sieg über seinen Team-Engage.</x:v>
      </x:c>
    </x:row>
    <x:row r="29" ht="145" customHeight="1">
      <x:c r="A29" s="3" t="str">
        <x:v>Mordekaiser</x:v>
      </x:c>
      <x:c r="B29" s="3" t="str">
        <x:v>A</x:v>
      </x:c>
      <x:c r="C29" s="3" t="str">
        <x:v>Olaf kann lange Kontakte erzwingen und mit rechtzeitiger R den Banish verhindern. W-Schild und isolierte Qs bleiben gefährlich. Ein bereits abgeschlossener Death-Realm-Cast lässt sich nicht nachträglich reinigen.</x:v>
      </x:c>
      <x:c r="D29" s="3" t="str">
        <x:v>Conqueror</x:v>
      </x:c>
      <x:c r="E29" s="3" t="str">
        <x:v>Mordes W-Schild und passive Schadenszone verlangen längeren DPS. Conqueror bleibt über seine Schildphase nützlich.</x:v>
      </x:c>
      <x:c r="F29" s="3" t="str">
        <x:v>Doran’s Blade + Health Potion</x:v>
      </x:c>
      <x:c r="G29" s="3" t="str">
        <x:v>Flash + Ghost</x:v>
      </x:c>
      <x:c r="H29" s="3" t="str">
        <x:v>Frühe Boots zum Q/E-Dodgen; Mercury’s bei AP-lastiger Comp.</x:v>
      </x:c>
      <x:c r="I29" s="3" t="str">
        <x:v>Olaf meist stärker mit Q-Resets. Nicht unnötig isolierte Qs nehmen; seitlich statt gerade auf ihn zulaufen.</x:v>
      </x:c>
      <x:c r="J29" s="3" t="str">
        <x:v>Nach verfehltem E/Q gehen, bevor W viel Ressource hat. E zwischen Autos; bei großem W-Schild nicht den gesamten eigenen HP-Puffer aufbrauchen.</x:v>
      </x:c>
      <x:c r="K29" s="3" t="str">
        <x:v>Olaf-R vor Abschluss von Mordes R verhindert den Banish. Bereits im Death Realm kannst du ihn mit R NICHT verlassen; R hilft dort trotzdem im Duell.</x:v>
      </x:c>
      <x:c r="L29" s="3" t="str">
        <x:v>Isoliertes Q, E, W-Schildressource, passive Zone, R-Banish/Stat-Steal.</x:v>
      </x:c>
      <x:c r="M29" s="3" t="str">
        <x:v>E verfehlt, Q verbraucht, W gerade genutzt. R-CD erlaubt aggressivere Waveposition ohne Realm-Falle.</x:v>
      </x:c>
      <x:c r="N29" s="3" t="str">
        <x:v>R als nachträglichen Realm-Cleanse behandeln; isolierte Qs tanken; gegen volles W auf sehr wenig HP committen.</x:v>
      </x:c>
      <x:c r="O29" s="3" t="str">
        <x:v>Früher Slowpush möglich, dann auf eigener Seite halten. Nach 6 nur weit vorschieben, wenn R und Jungle-Information vorhanden sind.</x:v>
      </x:c>
      <x:c r="P29" s="3" t="str">
        <x:v>E seitlich dodgen, Q treffen, Auto–W–Auto und E. R rechtzeitig bei drohendem Banish; kurze Qs sichern Kontakt, W-Schild mit planbarem HP-Puffer durcharbeiten.</x:v>
      </x:c>
      <x:c r="Q29" s="3" t="str">
        <x:v>Ravenous Hydra für Side-Sustain, danach Maw. Stridebreaker statt Hydra, wenn du außerhalb der Lane häufiger Ziele erreichen musst.</x:v>
      </x:c>
      <x:c r="R29" s="3" t="str">
        <x:v>Spirit Visage später bei mehreren AP-Quellen und zusätzlicher Verbündetenheilung. Black Cleaver erst gegen relevanten Armor-Kauf; QSS nicht als Realm-Lösung kaufen.</x:v>
      </x:c>
      <x:c r="S29" s="3" t="str">
        <x:v>1 Item: Olaf hat gute Fenster, Morde mit vollem W bleibt gefährlich. 2 Items: Maw stabilisiert. 3 Items: R-Timing, Antiheal und defensive Builds entscheiden; kein bedingungsloser Sieg.</x:v>
      </x:c>
      <x:c r="T29" s="3" t="str">
        <x:v>Bestrafe verfehltes E und verbrauchtes W. Drücke R rechtzeitig, wenn du den Death Realm verhindern willst. Nach dem Banish geht es ums Gewinnen des Duells, nicht ums nachträgliche Reinigen.</x:v>
      </x:c>
      <x:c r="U29" s="3" t="str">
        <x:v>PTA für kurze Backline-Catches möglich, wenn du Morde nicht dauerhaft auf der Side durchkämpfen musst.</x:v>
      </x:c>
      <x:c r="V29"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29" s="3" t="str">
        <x:v>26.18</x:v>
      </x:c>
      <x:c r="X29" s="3" t="str">
        <x:v>10.09.2026</x:v>
      </x:c>
      <x:c r="Y29" s="3" t="str">
        <x:v>A</x:v>
      </x:c>
      <x:c r="Z29" s="3" t="str">
        <x:v>B</x:v>
      </x:c>
      <x:c r="AA29" s="3" t="str">
        <x:v>A</x:v>
      </x:c>
      <x:c r="AB29" s="3" t="str">
        <x:v>Tier beibehalten. Lane A, späte Side B: Olaf kann lange Kontakte erzwingen und mit rechtzeitiger R den Banish verhindern. W-Schild und isolierte Qs bleiben gefährlich. Ein bereits abgeschlossener Death-Realm-Cast lässt sich nicht nachträglich reinigen.</x:v>
      </x:c>
    </x:row>
    <x:row r="30" ht="145" customHeight="1">
      <x:c r="A30" s="3" t="str">
        <x:v>Nasus</x:v>
      </x:c>
      <x:c r="B30" s="3" t="str">
        <x:v>B</x:v>
      </x:c>
      <x:c r="C30" s="3" t="str">
        <x:v>Olaf kann frühe Q-Last-Hits bedrohen und während Ragnarok Wither übergehen. Das schafft mehr als eine bloß neutrale Lane. Freie Stacks, Nasus-R und auslaufende eigene R können die spätere Side trotzdem drehen.</x:v>
      </x:c>
      <x:c r="D30" s="3" t="str">
        <x:v>Conqueror</x:v>
      </x:c>
      <x:c r="E30" s="3" t="str">
        <x:v>Hohe HP, Heilung und wiederholte Qs machen sein R-All-in lang. PTA ersetzt keinen Plan, seine R auslaufen zu lassen.</x:v>
      </x:c>
      <x:c r="F30" s="3" t="str">
        <x:v>Doran’s Blade + Health Potion</x:v>
      </x:c>
      <x:c r="G30" s="3" t="str">
        <x:v>Flash + Ghost</x:v>
      </x:c>
      <x:c r="H30" s="3" t="str">
        <x:v>Boots zum Verfolgen; Plated Steelcaps vor starken Q-Duellen.</x:v>
      </x:c>
      <x:c r="I30" s="3" t="str">
        <x:v>Olaf stärker. Zwischen Nasus und Nahkämpfer stellen, ohne gegnerischen Jungle zu ignorieren. Q nur so werfen, dass du nicht ungewollt die ganze Wave schnell pushst.</x:v>
      </x:c>
      <x:c r="J30" s="3" t="str">
        <x:v>Jeden Q-Last-Hit in Reichweite bedrohen. Nach Q-Nutzung Auto–E-Trade; gegen E-Max nicht unnötig in der Zone stehen.</x:v>
      </x:c>
      <x:c r="K30" s="3" t="str">
        <x:v>Wither ist mit eigener R übergehbar, Nasus-R gibt aber massive Kampfstärke. Seine R ziehen und auslaufen lassen, wenn der Kill nicht klar ist.</x:v>
      </x:c>
      <x:c r="L30" s="3" t="str">
        <x:v>Q-Stacks, W-Wither, E-Armor-Reduktion, R-HP und beschleunigte Q-Nutzung.</x:v>
      </x:c>
      <x:c r="M30" s="3" t="str">
        <x:v>R beendet und Q gerade genutzt. W verbraucht vor 6. Ein Q auf Minion ist nur ein kurzes Fenster, kein langer Freifahrtschein.</x:v>
      </x:c>
      <x:c r="N30" s="3" t="str">
        <x:v>Freies Farmen durch endloses Autopushen; in E stehen bleiben; lange in aktive Nasus-R hineinrennen, nachdem eigene R auslief.</x:v>
      </x:c>
      <x:c r="O30" s="3" t="str">
        <x:v>Erste Waves kontrolliert slowpushen und vollständig crashen, wenn Olaf die Prio hat. Den Bounce auf eigener Seite halten und Q-Last-Hits bedrohen. Freeze nur halten, wenn du Nasus noch zonen kannst. Für Recall, Dive, Turm oder Objective bewusst crashen; nicht dauerhaft pushen, bloß um Tower-Stackverluste zu hoffen.</x:v>
      </x:c>
      <x:c r="P30" s="3" t="str">
        <x:v>Q bei seinem Last-Hit, Auto–E, mit W nur bei echtem Anschluss verlängern. R auf Wither im Commit; falls Nasus-R das Kräfteverhältnis kippt, per Q Abstand schaffen.</x:v>
      </x:c>
      <x:c r="Q30" s="3" t="str">
        <x:v>Ravenous Hydra nach der frühen Denial-Phase für Sustain und Waveclear. Stridebreaker, wenn Chase oder Zugriff im Gesamtspiel wichtiger ist; auch dessen Tiamat/Cleave erschwert Freezes. Zweites Death’s Dance gegen AD-Druck oder Black Cleaver bei relevanter Armor.</x:v>
      </x:c>
      <x:c r="R30" s="3" t="str">
        <x:v>Executioner’s, wenn seine Heilung ein tatsächliches All-in kippt. Sterak’s gegen Q-Burst. BotRK nur bei viel HP und ausreichend eigenem Überleben.</x:v>
      </x:c>
      <x:c r="S30" s="3" t="str">
        <x:v>1 Item: Olaf bei verweigerten Stacks gut. 2 Items: Stackstand wird zentral. 3 Items: Nasus kann das 1v1 gewinnen; frühe Türme und Rotationen statt stiller Farmvertrag.</x:v>
      </x:c>
      <x:c r="T30" s="3" t="str">
        <x:v>Schaffe nach einem vollständigen frühen Crash einen Bounce und bedrohe seine Q-Last-Hits auf deiner Seite. Ab 6 hält eigene R Wither aus dem Kampf, aber Nasus-R und Stackstand bleiben relevant. Löse den Freeze für echten Gegenwert statt ihm automatisch jede Wave unter den Turm zu liefern.</x:v>
      </x:c>
      <x:c r="U30" s="3" t="str">
        <x:v>PTA bei kurzem Carry-Zugang im Gesamtspiel; Conqueror behalten, wenn Nasus dein dauerhafter Side-Auftrag ist.</x:v>
      </x:c>
      <x:c r="V30"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0" s="3" t="str">
        <x:v>26.18</x:v>
      </x:c>
      <x:c r="X30" s="3" t="str">
        <x:v>10.09.2026</x:v>
      </x:c>
      <x:c r="Y30" s="3" t="str">
        <x:v>A</x:v>
      </x:c>
      <x:c r="Z30" s="3" t="str">
        <x:v>D</x:v>
      </x:c>
      <x:c r="AA30" s="3" t="str">
        <x:v>C</x:v>
      </x:c>
      <x:c r="AB30" s="3" t="str">
        <x:v>Tier C → B. Lane A, späte Side D: Olaf kann frühe Q-Last-Hits bedrohen und während Ragnarok Wither übergehen. Das schafft mehr als eine bloß neutrale Lane. Freie Stacks, Nasus-R und auslaufende eigene R können die spätere Side trotzdem drehen.</x:v>
      </x:c>
    </x:row>
    <x:row r="31" ht="145" customHeight="1">
      <x:c r="A31" s="3" t="str">
        <x:v>Ornn</x:v>
      </x:c>
      <x:c r="B31" s="3" t="str">
        <x:v>B</x:v>
      </x:c>
      <x:c r="C31" s="3" t="str">
        <x:v>Olaf kann CC übergehen und Ornn auf langer Lane unter Druck setzen. Ornn muss aber keine Soloduells gewinnen, um über Upgrades und Engage wirksam zu sein. Deshalb deutlicher Lane-, aber nur leichter Gesamtvorteil.</x:v>
      </x:c>
      <x:c r="D31" s="3" t="str">
        <x:v>Conqueror</x:v>
      </x:c>
      <x:c r="E31" s="3" t="str">
        <x:v>Armor, HP und mehrere Schild-/Defensivkäufe verlangen nachhaltigen Schaden. Kurzer PTA-Burst ist selten das entscheidende Killfenster.</x:v>
      </x:c>
      <x:c r="F31" s="3" t="str">
        <x:v>Doran’s Blade + Health Potion</x:v>
      </x:c>
      <x:c r="G31" s="3" t="str">
        <x:v>Flash + Ghost</x:v>
      </x:c>
      <x:c r="H31" s="3" t="str">
        <x:v>Frühe Boots zum Q/E-Ausweichen; Upgrades nach Comp.</x:v>
      </x:c>
      <x:c r="I31" s="3" t="str">
        <x:v>Olaf im langen Kontakt. Nach Ornn-Q vorrücken, nicht entlang der entstehenden Säule verfolgen.</x:v>
      </x:c>
      <x:c r="J31" s="3" t="str">
        <x:v>W-Flammen seitlich verlassen und Brittle-Proc vermeiden. Nach E-Verbrauch längeres All-in, sofern keine große gegnerische Wave anliegt.</x:v>
      </x:c>
      <x:c r="K31" s="3" t="str">
        <x:v>R kann Knock-ups verhindern, aber W/Brittle-Schaden bleibt. Eigene R nicht zu früh aus Distanz starten, wenn Ornn mit E abdrehen kann.</x:v>
      </x:c>
      <x:c r="L31" s="3" t="str">
        <x:v>W/Brittle, Q-Säule, E-Wandknock-up, R-Doppelkontakt.</x:v>
      </x:c>
      <x:c r="M31" s="3" t="str">
        <x:v>W und E verbraucht. Fehlendes R macht Gank-Setup und Selbstverteidigung schwächer.</x:v>
      </x:c>
      <x:c r="N31" s="3" t="str">
        <x:v>Neben Säule/Wand stehen; gesamten W-Kegel tanken; Ornn-Skalierung unterschätzen, nur weil du auf der Side mehr Schaden machst.</x:v>
      </x:c>
      <x:c r="O31" s="3" t="str">
        <x:v>Slowpush, nach Crash zurückbouncen lassen. Freeze zwingt ihn aus sicherer Q-Farm. Hydra-Clear nutzen, wenn du früh rotieren statt einfrieren willst.</x:v>
      </x:c>
      <x:c r="P31" s="3" t="str">
        <x:v>Q treffen, seitlich aus W laufen, nach E Auto–W–Auto–E. Fluchtweg mit kurzen Qs sichern; R für Knock-up im tatsächlichen Commit.</x:v>
      </x:c>
      <x:c r="Q31" s="3" t="str">
        <x:v>Ravenous Hydra für Sustain und Push, danach Black Cleaver gegen Armor. Stridebreaker, wenn er häufig knapp entkommt.</x:v>
      </x:c>
      <x:c r="R31" s="3" t="str">
        <x:v>Sterak’s gegen Team-Burst; Maw bei AP-Gefahr. BotRK erst bei hohem HP-Anteil und eigenem Überleben, nicht blind gegen Armor.</x:v>
      </x:c>
      <x:c r="S31" s="3" t="str">
        <x:v>1 Item: gute Drucklane. 2 Items: anhaltender Schaden bedroht Ornn auf langer Side. 3 Items: meist weiter Side-Druck, aber seine Upgrades und Engage stärken das gegnerische Team.</x:v>
      </x:c>
      <x:c r="T31" s="3" t="str">
        <x:v>Weiche W seitlich aus und greife nach E an. Zwinge Ornn aus sicherer Reichweite, statt ihn unter Turm zu jagen. Übersetze Side-Druck rechtzeitig in Objectives, bevor sein Team-Scaling zählt.</x:v>
      </x:c>
      <x:c r="U31" s="3" t="str">
        <x:v>PTA gegen vier fragile Teamgegner möglich, wenn Ornn nur gehalten wird.</x:v>
      </x:c>
      <x:c r="V31"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1" s="3" t="str">
        <x:v>26.18</x:v>
      </x:c>
      <x:c r="X31" s="3" t="str">
        <x:v>10.09.2026</x:v>
      </x:c>
      <x:c r="Y31" s="3" t="str">
        <x:v>A</x:v>
      </x:c>
      <x:c r="Z31" s="3" t="str">
        <x:v>B</x:v>
      </x:c>
      <x:c r="AA31" s="3" t="str">
        <x:v>A</x:v>
      </x:c>
      <x:c r="AB31" s="3" t="str">
        <x:v>Tier A → B. Lane A, späte Side B: Olaf kann CC übergehen und Ornn auf langer Lane unter Druck setzen. Ornn muss aber keine Soloduells gewinnen, um über Upgrades und Engage wirksam zu sein. Deshalb deutlicher Lane-, aber nur leichter Gesamtvorteil.</x:v>
      </x:c>
    </x:row>
    <x:row r="32" ht="145" customHeight="1">
      <x:c r="A32" s="3" t="str">
        <x:v>Pantheon</x:v>
      </x:c>
      <x:c r="B32" s="3" t="str">
        <x:v>B</x:v>
      </x:c>
      <x:c r="C32" s="3" t="str">
        <x:v>Vor 6 sind Q-Poke und empowered W ernst. Nach seiner E-Defensive und ab Olaf-R ist der lange Kontakt günstiger. Seine Roams und spätere Armor-Penetration verhindern einen bedingungslosen Vorteil.</x:v>
      </x:c>
      <x:c r="D32" s="3" t="str">
        <x:v>Conqueror</x:v>
      </x:c>
      <x:c r="E32" s="3" t="str">
        <x:v>E unterbricht Olafs sinnvollen Auto-Schaden; Q/E können Conqueror vor dem anschließenden Fight vorbereiten. PTA ist erst nach E zuverlässig.</x:v>
      </x:c>
      <x:c r="F32" s="3" t="str">
        <x:v>Doran’s Shield + Health Potion</x:v>
      </x:c>
      <x:c r="G32" s="3" t="str">
        <x:v>Flash + Ghost</x:v>
      </x:c>
      <x:c r="H32" s="3" t="str">
        <x:v>Plated Steelcaps gegen Q/Auto-Druck; kein automatischer Mercury-Kauf nur für W.</x:v>
      </x:c>
      <x:c r="I32" s="3" t="str">
        <x:v>Pantheon mit sicherem Q-Poke, Olaf bei langem Q-Chase. Nicht für Low-HP-Passive in Q-Execute-Reichweite bleiben.</x:v>
      </x:c>
      <x:c r="J32" s="3" t="str">
        <x:v>Passive Stacks beachten. Nach W-Kombo und E-Ende re-engagen; während frontalem E nicht W und alle Autos verbrauchen.</x:v>
      </x:c>
      <x:c r="K32" s="3" t="str">
        <x:v>R neutralisiert W-Stun, nicht seinen Schaden. Pantheon-R-Roams mit Crash beantworten oder rechtzeitig folgen, ohne blind hinterherzulaufen.</x:v>
      </x:c>
      <x:c r="L32" s="3" t="str">
        <x:v>Empowered W, E-Schadensblock von vorne, Q-Execute, passive Stacks.</x:v>
      </x:c>
      <x:c r="M32" s="3" t="str">
        <x:v>E beendet und W fehlt; Q verfehlt verbessert den Einstieg. Sein R-Roam gibt ein Wave-/Turmfenster.</x:v>
      </x:c>
      <x:c r="N32" s="3" t="str">
        <x:v>Frontal in E burstieren; auf wenig HP Q unterschätzen; seinen Roam ohne Ping und Gegenwert zulassen.</x:v>
      </x:c>
      <x:c r="O32" s="3" t="str">
        <x:v>Früh auf eigener Seite halten. Nach seinem E einen Slowpush beginnen. Bei R-Roam sofort prüfen, ob Crash/Turm sicher mehr bringt als verspätetes Folgen.</x:v>
      </x:c>
      <x:c r="P32" s="3" t="str">
        <x:v>Q-Poke, W-Kombo mit eigenem W überstehen, E auslaufen lassen oder sicher hinter ihn gelangen. Dann Auto–E–Auto und Q-Chase; R auf Stun im Commit.</x:v>
      </x:c>
      <x:c r="Q32" s="3" t="str">
        <x:v>Ravenous Hydra für Poke-Sustain, danach Death’s Dance. Stridebreaker, wenn er nach E regelmäßig außer Reichweite kommt.</x:v>
      </x:c>
      <x:c r="R32" s="3" t="str">
        <x:v>Sterak’s gegen Burst; Armor vor zusätzlichem reinen DPS bei Rückstand. Fiendhunter Bolts nur, wenn seine E bereits zuverlässig gezogen wird.</x:v>
      </x:c>
      <x:c r="S32" s="3" t="str">
        <x:v>1 Item: Sustain verbessert die Lane. 2 Items: längere Duelle oft gut für Olaf. 3 Items: Pantheons Armor-Penetration hält ihn gefährlich; Burst und E-Positionierung bleiben relevant.</x:v>
      </x:c>
      <x:c r="T32" s="3" t="str">
        <x:v>Behandle sein E als Pause für deinen großen Schaden. Überstehe den ersten Burst und kämpfe danach weiter. Bleibe nicht mit minimalen HP in Q-Reichweite.</x:v>
      </x:c>
      <x:c r="U32" s="3" t="str">
        <x:v>PTA bei verlässlichem Kontakt nach E und vielen kurzen Team-Catches; Lane-Conqueror ist keine Comp-Pflicht.</x:v>
      </x:c>
      <x:c r="V32"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2" s="3" t="str">
        <x:v>26.18</x:v>
      </x:c>
      <x:c r="X32" s="3" t="str">
        <x:v>10.09.2026</x:v>
      </x:c>
      <x:c r="Y32" s="3" t="str">
        <x:v>C</x:v>
      </x:c>
      <x:c r="Z32" s="3" t="str">
        <x:v>B</x:v>
      </x:c>
      <x:c r="AA32" s="3" t="str">
        <x:v>B</x:v>
      </x:c>
      <x:c r="AB32" s="3" t="str">
        <x:v>Tier beibehalten. Lane C, späte Side B: Vor 6 sind Q-Poke und empowered W ernst. Nach seiner E-Defensive und ab Olaf-R ist der lange Kontakt günstiger. Seine Roams und spätere Armor-Penetration verhindern einen bedingungslosen Vorteil.</x:v>
      </x:c>
    </x:row>
    <x:row r="33" ht="145" customHeight="1">
      <x:c r="A33" s="3" t="str">
        <x:v>Poppy</x:v>
      </x:c>
      <x:c r="B33" s="3" t="str">
        <x:v>B</x:v>
      </x:c>
      <x:c r="C33" s="3" t="str">
        <x:v>Olaf läuft statt zu dashen und kann ihren kontrollierenden Disengage mit R übergehen. Q-Schaden, Schild und Armor erlauben Poppy trotzdem gutes Stallen. Der erreichbare Dauerkampf ist Olafs Vorteil.</x:v>
      </x:c>
      <x:c r="D33" s="3" t="str">
        <x:v>Conqueror</x:v>
      </x:c>
      <x:c r="E33" s="3" t="str">
        <x:v>Schild, Armor und kurze Rückzüge machen mehrere Schadensrotationen nötig. Conqueror passt zum anschließenden langen Nahkampf.</x:v>
      </x:c>
      <x:c r="F33" s="3" t="str">
        <x:v>Doran’s Blade + Health Potion</x:v>
      </x:c>
      <x:c r="G33" s="3" t="str">
        <x:v>Flash + Ghost</x:v>
      </x:c>
      <x:c r="H33" s="3" t="str">
        <x:v>Plated Steelcaps bei AD-lastiger Comp, sonst Basis-Boots genügen früh.</x:v>
      </x:c>
      <x:c r="I33" s="3" t="str">
        <x:v>Olaf bei langem Kontakt. Q-Zone verlassen, statt beide Treffer zu nehmen. Buckler nur betreten, wenn das keinen Wandstun vorbereitet.</x:v>
      </x:c>
      <x:c r="J33" s="3" t="str">
        <x:v>Offene Lane-Seite nutzen. Nach Q/E-Verbrauch anlaufen und ihren Schild-Pickup verweigern, wenn sicher.</x:v>
      </x:c>
      <x:c r="K33" s="3" t="str">
        <x:v>R verhindert Wegschleudern/Knock-up bei aktivem Olaf-R. Vor Ablauf Kontakt halten; Poppy kann W-Tempo zum Auslaufen deiner R nutzen.</x:v>
      </x:c>
      <x:c r="L33" s="3" t="str">
        <x:v>E-Wandstun, Q-Doppeltreffer, passive Buckler, W-Tempo, R-Disengage.</x:v>
      </x:c>
      <x:c r="M33" s="3" t="str">
        <x:v>E verfehlt/ohne Wandwert, Q verbraucht, Schild nicht erreichbar. R fehlt erleichtert den nächsten Chase.</x:v>
      </x:c>
      <x:c r="N33" s="3" t="str">
        <x:v>An einer Wand traden; im zweiten Q-Treffer stehen; R aus großer Entfernung zünden und auslaufen lassen.</x:v>
      </x:c>
      <x:c r="O33" s="3" t="str">
        <x:v>Auf eigener Seite mit Raum zur offenen Lane halten. Slowpush nach guten Trades; unter Turm keinen E-Wandwinkel anbieten.</x:v>
      </x:c>
      <x:c r="P33" s="3" t="str">
        <x:v>Q treffen, diagonal aus ihrer Q-Zone gehen, Auto–E. Nach E Auto–W–Auto; R gegen ihren tatsächlichen Disengage, nicht schon beim ersten Poke.</x:v>
      </x:c>
      <x:c r="Q33" s="3" t="str">
        <x:v>Ravenous Hydra für Sustain, danach Black Cleaver bei Armor oder Death’s Dance bei AD-Druck. Stridebreaker, wenn W-Tempo Kontakt verhindert.</x:v>
      </x:c>
      <x:c r="R33" s="3" t="str">
        <x:v>Sterak’s als Burstpuffer; zusätzliche Armor nach Gegnerteam. Crit nur mit Vorsprung und nach defensiver Basis, wenn sie nicht Armor stapelt.</x:v>
      </x:c>
      <x:c r="S33" s="3" t="str">
        <x:v>1 Item: gute lange Trades. 2 Items: Shred und Sustain stärken Side. 3 Items: Poppy kann stallen; Teamfight-Peel kann deine Backline-Ziele dennoch schützen.</x:v>
      </x:c>
      <x:c r="T33" s="3" t="str">
        <x:v>Bleib weg von Wänden und verlasse ihre Q-Zone. Wenn E weg ist, kannst du lange kämpfen. Spare R für das tatsächliche Wegschleudern und halte anschließend Kontakt.</x:v>
      </x:c>
      <x:c r="U33" s="3" t="str">
        <x:v>PTA, wenn kurze Catches der gegnerischen Carries wichtiger sind als Poppys Side.</x:v>
      </x:c>
      <x:c r="V33"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3" s="3" t="str">
        <x:v>26.18</x:v>
      </x:c>
      <x:c r="X33" s="3" t="str">
        <x:v>10.09.2026</x:v>
      </x:c>
      <x:c r="Y33" s="3" t="str">
        <x:v>B</x:v>
      </x:c>
      <x:c r="Z33" s="3" t="str">
        <x:v>B</x:v>
      </x:c>
      <x:c r="AA33" s="3" t="str">
        <x:v>A</x:v>
      </x:c>
      <x:c r="AB33" s="3" t="str">
        <x:v>Tier A → B. Lane B, späte Side B: Olaf läuft statt zu dashen und kann ihren kontrollierenden Disengage mit R übergehen. Q-Schaden, Schild und Armor erlauben Poppy trotzdem gutes Stallen. Der erreichbare Dauerkampf ist Olafs Vorteil.</x:v>
      </x:c>
    </x:row>
    <x:row r="34" ht="145" customHeight="1">
      <x:c r="A34" s="3" t="str">
        <x:v>Quinn</x:v>
      </x:c>
      <x:c r="B34" s="3" t="str">
        <x:v>B</x:v>
      </x:c>
      <x:c r="C34" s="3" t="str">
        <x:v>Quinn kontrolliert Reichweite, Olaf bekommt mit R eine Antwort auf ihren CC. Nach Vault ist der lange Rückweg nutzbar. Ihre eigene Bewegung und Roams bleiben bestehen, auch wenn der Knockback scheitert.</x:v>
      </x:c>
      <x:c r="D34" s="3" t="str">
        <x:v>PTA</x:v>
      </x:c>
      <x:c r="E34" s="3" t="str">
        <x:v>Nach E entsteht ein kompaktes Fenster für drei Autos. Langes Aufladen ist gegen ihr ständiges Spacing seltener realistisch.</x:v>
      </x:c>
      <x:c r="F34" s="3" t="str">
        <x:v>Doran’s Shield + Health Potion</x:v>
      </x:c>
      <x:c r="G34" s="3" t="str">
        <x:v>Flash + Ghost</x:v>
      </x:c>
      <x:c r="H34" s="3" t="str">
        <x:v>Frühe Plated Steelcaps gegen Auto-Poke.</x:v>
      </x:c>
      <x:c r="I34" s="3" t="str">
        <x:v>Quinn bestimmt die ersten Autos. Olaf nur mit Q-Treffer und freier Chase-Linie stärker; nicht die halbe HP-Leiste für frühe CS zahlen.</x:v>
      </x:c>
      <x:c r="J34" s="3" t="str">
        <x:v>Q durch Minions abfangen lassen; E herauslocken. Ghost erst nutzen, wenn der Rückweg lang genug ist und nicht direkt ihr Turm wartet.</x:v>
      </x:c>
      <x:c r="K34" s="3" t="str">
        <x:v>Olaf-R hilft gegen Vault-CC und Nearsight, aber Quinns eigene Bewegung bleibt. Ihre Roams früh pingen und Wave bestrafen.</x:v>
      </x:c>
      <x:c r="L34" s="3" t="str">
        <x:v>E-Vault, Q-Nearsight, Harrier-Marken/Tempo, R-Roams.</x:v>
      </x:c>
      <x:c r="M34" s="3" t="str">
        <x:v>E verbraucht und Q verfehlt/auf CD; Quinn zu weit vom Turm. Nach Rückkehr von Roam nicht ohne Vision ambushen.</x:v>
      </x:c>
      <x:c r="N34" s="3" t="str">
        <x:v>R mit Kontaktgarantie verwechseln; ihr in unaufgedeckten Jungle folgen; drei Autos erzwingen, während die Wave dich tötet.</x:v>
      </x:c>
      <x:c r="O34" s="3" t="str">
        <x:v>Früh ausgedünnte Wave vor eigenem Turm. Nach misslungenem E-Chase resetten oder crashen. Roams durch schnellen Crash beantworten.</x:v>
      </x:c>
      <x:c r="P34" s="3" t="str">
        <x:v>Q treffen und anlaufen; E abwarten, dann Ghost/Stride zum Anschluss. R gegen Unterbrechung, Auto–W–Auto–Auto; Äxte kurz in Fluchtrichtung.</x:v>
      </x:c>
      <x:c r="Q34" s="3" t="str">
        <x:v>Stridebreaker, danach Death’s Dance gegen AD oder Sterak’s bei gemischtem Burst. Ravenous nur, wenn du sonst aus der Lane gepokt wirst.</x:v>
      </x:c>
      <x:c r="R34" s="3" t="str">
        <x:v>Randuin’s gegen mehrere Crit-Ziele. Fiendhunter Bolts bei sicherem Kontakt und Vorsprung; keine frühe gläserne Crit-Linie aus Rückstand.</x:v>
      </x:c>
      <x:c r="S34" s="3" t="str">
        <x:v>1 Item: Stride ermöglicht echte Catches. 2 Items: Armor hilft beim Einstieg. 3 Items: Quinn kann kiten/roamen; offenes 1v1 bleibt von E und deiner R abhängig.</x:v>
      </x:c>
      <x:c r="T34" s="3" t="str">
        <x:v>Bewahre HP, bis Quinn E ausgegeben hat. Dann nutze die lange Lane mit Ghost und R. Wenn sie roamt, nimm sicheren Wave- und Turmwert statt ihr blind nachzulaufen.</x:v>
      </x:c>
      <x:c r="U34" s="3" t="str">
        <x:v>Conqueror bei mehreren tankigen Melees im Gegnerteam, sofern Quinn nicht dein wichtigstes Killziel bleibt.</x:v>
      </x:c>
      <x:c r="V34"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4" s="3" t="str">
        <x:v>26.18</x:v>
      </x:c>
      <x:c r="X34" s="3" t="str">
        <x:v>10.09.2026</x:v>
      </x:c>
      <x:c r="Y34" s="3" t="str">
        <x:v>C</x:v>
      </x:c>
      <x:c r="Z34" s="3" t="str">
        <x:v>C</x:v>
      </x:c>
      <x:c r="AA34" s="3" t="str">
        <x:v>B</x:v>
      </x:c>
      <x:c r="AB34" s="3" t="str">
        <x:v>Tier beibehalten. Lane C, späte Side C: Quinn kontrolliert Reichweite, Olaf bekommt mit R eine Antwort auf ihren CC. Nach Vault ist der lange Rückweg nutzbar. Ihre eigene Bewegung und Roams bleiben bestehen, auch wenn der Knockback scheitert.</x:v>
      </x:c>
    </x:row>
    <x:row r="35" ht="145" customHeight="1">
      <x:c r="A35" s="3" t="str">
        <x:v>Renekton</x:v>
      </x:c>
      <x:c r="B35" s="3" t="str">
        <x:v>C</x:v>
      </x:c>
      <x:c r="C35" s="3" t="str">
        <x:v>Renektons vorbereitete Fury und kurze E-Trades sind früh stark. Olaf kann nach E2 und empowered W verlängern und wird im direkten längeren Duell konkurrenzfähiger. W-Schild-Timing bleibt zentral.</x:v>
      </x:c>
      <x:c r="D35" s="3" t="str">
        <x:v>Conqueror</x:v>
      </x:c>
      <x:c r="E35" s="3" t="str">
        <x:v>Renektons R-HP und mehrere E-Bewegungen verlängern den Kampf. Der wichtige Schaden kommt nach seinem Burst, nicht zwingend in drei frühen Autos.</x:v>
      </x:c>
      <x:c r="F35" s="3" t="str">
        <x:v>Doran’s Blade + Health Potion</x:v>
      </x:c>
      <x:c r="G35" s="3" t="str">
        <x:v>Flash + Ghost</x:v>
      </x:c>
      <x:c r="H35" s="3" t="str">
        <x:v>Plated Steelcaps früh bei gleichmäßiger Lane.</x:v>
      </x:c>
      <x:c r="I35" s="3" t="str">
        <x:v>Olaf im langen Fight; Renekton-Q gewinnt sichere kurze Trades. Fury nicht gratis an der Wave aufbauen lassen, ohne dabei den Wavevorteil zu verlieren.</x:v>
      </x:c>
      <x:c r="J35" s="3" t="str">
        <x:v>Vorbereitete Fury und E-Rückweg prüfen. Eigenes W möglichst nach empowered W: dessen Schildbruch verschwendet sonst deinen Schutz. Nach E2 langen Trade suchen.</x:v>
      </x:c>
      <x:c r="K35" s="3" t="str">
        <x:v>Olaf-R verhindert Stun, aber weder empowered-W-Schaden noch Schildbruch. Renekton-R gibt HP und Schadensdruck; All-in mit eigener W-Verfügbarkeit planen.</x:v>
      </x:c>
      <x:c r="L35" s="3" t="str">
        <x:v>Fury, empowered W/Schildbruch, E2-Rückzug, Q-Heilung, R-HP.</x:v>
      </x:c>
      <x:c r="M35" s="3" t="str">
        <x:v>E2 verbraucht, wenig Fury und Q/W fehlen. Nach R-Ende erneuter Angriff besser als in seinen vollen Spike.</x:v>
      </x:c>
      <x:c r="N35" s="3" t="str">
        <x:v>W-Schild in empowered W legen; mit wenig HP Burst abwarten; nach E1 losrennen, obwohl E2 noch offen ist.</x:v>
      </x:c>
      <x:c r="O35" s="3" t="str">
        <x:v>Wave auf eigener Seite, aber nicht unter großem Stack tanken. Nach verbrauchter Kombo Slowpush; Crash nur, wenn sein E/W dich nicht im Weg stoppen.</x:v>
      </x:c>
      <x:c r="P35" s="3" t="str">
        <x:v>Q beim Rückzug treffen, seine W-Kombo abfangen, danach eigenes W–Auto–E. Nach E2 mit kurzen Äxten dranbleiben; R nur im echten Commit.</x:v>
      </x:c>
      <x:c r="Q35" s="3" t="str">
        <x:v>Ravenous Hydra für Reset-Sustain, dann Death’s Dance. Stridebreaker, wenn der E2-Rückzug das zentrale Problem ist.</x:v>
      </x:c>
      <x:c r="R35" s="3" t="str">
        <x:v>Sterak’s erst mit Bewusstsein für Schildbruch; Armor kann verlässlicher sein. Executioner’s bei heillastigem Build und engem All-in.</x:v>
      </x:c>
      <x:c r="S35" s="3" t="str">
        <x:v>1 Item: Fury und E2 entscheiden. 2 Items: Olaf profitiert von längeren Duellen mit Armor. 3 Items: häufig gute Side bei sauberem W-Timing, Renektons Team-Burst bleibt relevant.</x:v>
      </x:c>
      <x:c r="T35" s="3" t="str">
        <x:v>Respektiere volle Fury und spare deinen Schild für nach empowered W. Wenn E2 weg ist, verlängere den Trade. Gewonnen wird die zweite Hälfte des Kampfes, nicht das Tankieren seiner ersten Kombo.</x:v>
      </x:c>
      <x:c r="U35" s="3" t="str">
        <x:v>PTA bei kurzen Team-Catches nach verbrauchtem gegnerischen Disengage; Conqueror für wiederholte Renekton-Duelle.</x:v>
      </x:c>
      <x:c r="V35"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5" s="3" t="str">
        <x:v>26.18</x:v>
      </x:c>
      <x:c r="X35" s="3" t="str">
        <x:v>10.09.2026</x:v>
      </x:c>
      <x:c r="Y35" s="3" t="str">
        <x:v>D</x:v>
      </x:c>
      <x:c r="Z35" s="3" t="str">
        <x:v>B</x:v>
      </x:c>
      <x:c r="AA35" s="3" t="str">
        <x:v>C</x:v>
      </x:c>
      <x:c r="AB35" s="3" t="str">
        <x:v>Tier beibehalten. Lane D, späte Side B: Renektons vorbereitete Fury und kurze E-Trades sind früh stark. Olaf kann nach E2 und empowered W verlängern und wird im direkten längeren Duell konkurrenzfähiger. W-Schild-Timing bleibt zentral.</x:v>
      </x:c>
    </x:row>
    <x:row r="36" ht="145" customHeight="1">
      <x:c r="A36" s="3" t="str">
        <x:v>Riven</x:v>
      </x:c>
      <x:c r="B36" s="3" t="str">
        <x:v>A</x:v>
      </x:c>
      <x:c r="C36" s="3" t="str">
        <x:v>Riven braucht ihre CC- und Dash-Kette für sichere Trades. Olaf-R nimmt viel von der Kontrolle; nach verbrauchter Mobilität ist sein langer Fight stark. Q-Vorbereitung und R2-Burst müssen trotzdem respektiert werden.</x:v>
      </x:c>
      <x:c r="D36" s="3" t="str">
        <x:v>Conqueror</x:v>
      </x:c>
      <x:c r="E36" s="3" t="str">
        <x:v>Mehrere Dash-/Schildzyklen unterbrechen drei frühe Autos. Conqueror lässt sich über Q/E und anschließenden Kontakt nutzen; kein Grund, blind hinterherzulaufen.</x:v>
      </x:c>
      <x:c r="F36" s="3" t="str">
        <x:v>Doran’s Blade + Health Potion</x:v>
      </x:c>
      <x:c r="G36" s="3" t="str">
        <x:v>Flash + Ghost</x:v>
      </x:c>
      <x:c r="H36" s="3" t="str">
        <x:v>Plated Steelcaps bei AD-Druck.</x:v>
      </x:c>
      <x:c r="I36" s="3" t="str">
        <x:v>Olaf im dauerhaften Fight. Gegen Q-Start ihre Kette nicht gratis tanken; nach Q3 Druck, sofern sie Q nicht vorab zeitlich gestreckt hat.</x:v>
      </x:c>
      <x:c r="J36" s="3" t="str">
        <x:v>Nach E und Q3 anlaufen. Keine lange Verfolgung, wenn Q-Cooldown durch vorbereitete Q-Kette bereits fast zurück ist. W vor ihrem entscheidenden Burst.</x:v>
      </x:c>
      <x:c r="K36" s="3" t="str">
        <x:v>R nimmt Stun/Knock-up, Riven-R2 bleibt gefährlicher Finisher. R erst, wenn sie ihre Mobilität nicht komplett zum Auslaufen verwenden kann.</x:v>
      </x:c>
      <x:c r="L36" s="3" t="str">
        <x:v>Q-Kette und Vorbereitung, E-Schild/Dash, W-Stun, R2.</x:v>
      </x:c>
      <x:c r="M36" s="3" t="str">
        <x:v>E plus Q-Kette verbraucht; R2 verfehlt. Fehlende W erleichtert Kontakt vor 6.</x:v>
      </x:c>
      <x:c r="N36" s="3" t="str">
        <x:v>CD von Q3 an wie eine komplett frische Q behandeln; auf minimalen HP R2 tanken; R aus Distanz starten.</x:v>
      </x:c>
      <x:c r="O36" s="3" t="str">
        <x:v>Eigene Lanehälfte bevorzugen. Nach verbrauchter Kombo Slowpush; Freeze hält ihren Rückweg lang. Kein Dive mit offenen Dashes.</x:v>
      </x:c>
      <x:c r="P36" s="3" t="str">
        <x:v>Q auf Landepunkt, kurze Autos/E bis E verbraucht ist. Danach Auto–W–Auto und Q-Pickups. R für CC im Commit, seitlich gegen R2 bewegen.</x:v>
      </x:c>
      <x:c r="Q36" s="3" t="str">
        <x:v>Ravenous Hydra für wiederholte Trades, danach Death’s Dance. Stridebreaker bei sehr gutem gegnerischem Spacing.</x:v>
      </x:c>
      <x:c r="R36" s="3" t="str">
        <x:v>Sterak’s gegen Execute-Burst; Fiendhunter Bolts bei Vorsprung und sicherer Auto-Uptime. Kein voller Crit-Rush in ihre Burstcombo.</x:v>
      </x:c>
      <x:c r="S36" s="3" t="str">
        <x:v>1 Item: gute lange Trades bei gleichen HP. 2 Items: Armor stabilisiert. 3 Items: Side weiterhin spielbar, aber Riven kann über Terrain und Burst den Fight wählen.</x:v>
      </x:c>
      <x:c r="T36" s="3" t="str">
        <x:v>Zwinge Riven zuerst zu E und ihrer Q-Kette. Kämpfe anschließend mit R durch ihre Kontrolle. Spare genug HP und Schild für R2.</x:v>
      </x:c>
      <x:c r="U36" s="3" t="str">
        <x:v>PTA, wenn du nach verbrauchten Dashes zuverlässig drei Autos bekommst und die gegnerische Comp kurze Killfenster verlangt.</x:v>
      </x:c>
      <x:c r="V36"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6" s="3" t="str">
        <x:v>26.18</x:v>
      </x:c>
      <x:c r="X36" s="3" t="str">
        <x:v>10.09.2026</x:v>
      </x:c>
      <x:c r="Y36" s="3" t="str">
        <x:v>B</x:v>
      </x:c>
      <x:c r="Z36" s="3" t="str">
        <x:v>B</x:v>
      </x:c>
      <x:c r="AA36" s="3" t="str">
        <x:v>A</x:v>
      </x:c>
      <x:c r="AB36" s="3" t="str">
        <x:v>Tier beibehalten. Lane B, späte Side B: Riven braucht ihre CC- und Dash-Kette für sichere Trades. Olaf-R nimmt viel von der Kontrolle; nach verbrauchter Mobilität ist sein langer Fight stark. Q-Vorbereitung und R2-Burst müssen trotzdem respektiert werden.</x:v>
      </x:c>
    </x:row>
    <x:row r="37" ht="145" customHeight="1">
      <x:c r="A37" s="3" t="str">
        <x:v>Rumble</x:v>
      </x:c>
      <x:c r="B37" s="3" t="str">
        <x:v>D</x:v>
      </x:c>
      <x:c r="C37" s="3" t="str">
        <x:v>Olaf kann Rumble erreichen und früh Druck machen, muss dabei aber Heat, Q und R-Fläche ausspielen. Magischer Dauerschaden und Rumbles Objective-Wert begrenzen den Nutzen von Ragnarok. Leichter Gesamt-Nachteil, keine automatisch verlorene Lane.</x:v>
      </x:c>
      <x:c r="D37" s="3" t="str">
        <x:v>Conqueror</x:v>
      </x:c>
      <x:c r="E37" s="3" t="str">
        <x:v>Schild und Overheat-Autos erzeugen echte längere Melee-Fights. PTA kann funktionieren, ersetzt aber nicht das Überleben seiner Heat-Phase.</x:v>
      </x:c>
      <x:c r="F37" s="3" t="str">
        <x:v>Doran’s Shield + Health Potion</x:v>
      </x:c>
      <x:c r="G37" s="3" t="str">
        <x:v>Flash + Ghost</x:v>
      </x:c>
      <x:c r="H37" s="3" t="str">
        <x:v>Frühe Boots zum Verlassen von Q/R; Mercury’s bei AP-Last.</x:v>
      </x:c>
      <x:c r="I37" s="3" t="str">
        <x:v>Olaf mit sauberer Q-Verfolgung; Rumble gewinnt, wenn du in seinem kompletten Flammenwerfer bleibst. Heat und gelernten Spell erst beobachten.</x:v>
      </x:c>
      <x:c r="J37" s="3" t="str">
        <x:v>Außerhalb seines Q-Kegels bleiben. Nach Q/W-Verbrauch bei beherrschbarer Heat angreifen; Overheat nicht automatisch als wehrloses Fenster ansehen.</x:v>
      </x:c>
      <x:c r="K37" s="3" t="str">
        <x:v>Ragnarok entfernt keine Brandfläche. Equalizer quer verlassen, erst dann weiterkämpfen. Low-HP-All-in mit aktiver Brandfläche ist riskant.</x:v>
      </x:c>
      <x:c r="L37" s="3" t="str">
        <x:v>Heat/Overheat-Autos, Q-Flammenwerfer, E-Harpunen, W-Schild/Tempo, R-Zone.</x:v>
      </x:c>
      <x:c r="M37" s="3" t="str">
        <x:v>Q beendet und W verbraucht; R verfehlt oder bereits verlassen. Harpunen-Ladungen mitdenken.</x:v>
      </x:c>
      <x:c r="N37" s="3" t="str">
        <x:v>Im Q/R stehenbleiben; Overheat mit Schadenslosigkeit verwechseln; R als Immunität gegen den Magieschaden behandeln.</x:v>
      </x:c>
      <x:c r="O37" s="3" t="str">
        <x:v>Wave auf eigener Seite, aber nicht im Q-Kegel mit der Wave stehen. Gute Reset-Windows höher gewichten als erzwungenen Freeze bei sehr wenig HP.</x:v>
      </x:c>
      <x:c r="P37" s="3" t="str">
        <x:v>Harpune ausweichen, Q treffen, seitlich an den Flammen vorbei gehen. Auto–E–W–Auto; bei Equalizer zunächst kurze Querbewegung aus der Zone.</x:v>
      </x:c>
      <x:c r="Q37" s="3" t="str">
        <x:v>Ravenous Hydra gegen wiederholten Poke, danach Maw. Stridebreaker, wenn du gesund bist, aber keinen Kontakt bekommst.</x:v>
      </x:c>
      <x:c r="R37" s="3" t="str">
        <x:v>Früher Hexdrinker bei drohendem Burst; Spirit Visage später bei mehreren AP-Quellen und Verbündetenheilung. Kein Crit vor ausreichendem Überleben.</x:v>
      </x:c>
      <x:c r="S37" s="3" t="str">
        <x:v>1 Item: HP beim Einstieg entscheidend. 2 Items: Maw öffnet stabilere All-ins. 3 Items: Side oft besser spielbar als frühe Lane, Rumble bleibt sehr starker Objective-Fighter.</x:v>
      </x:c>
      <x:c r="T37" s="3" t="str">
        <x:v>Bewahre HP und suche ein Fenster nach Q/W. Laufe quer aus Equalizer, bevor du weiter angreifst. Sein fehlender CC macht ihn für Olaf nicht automatisch einfach.</x:v>
      </x:c>
      <x:c r="U37" s="3" t="str">
        <x:v>PTA bei sicherem kurzem Zugang zu vier fragilen Teamgegnern; Conqueror für Rumble und andere längere Melee-Fights.</x:v>
      </x:c>
      <x:c r="V37"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7" s="3" t="str">
        <x:v>26.18</x:v>
      </x:c>
      <x:c r="X37" s="3" t="str">
        <x:v>10.09.2026</x:v>
      </x:c>
      <x:c r="Y37" s="3" t="str">
        <x:v>C</x:v>
      </x:c>
      <x:c r="Z37" s="3" t="str">
        <x:v>C</x:v>
      </x:c>
      <x:c r="AA37" s="3" t="str">
        <x:v>D</x:v>
      </x:c>
      <x:c r="AB37" s="3" t="str">
        <x:v>Tier beibehalten. Lane C, späte Side C: Olaf kann Rumble erreichen und früh Druck machen, muss dabei aber Heat, Q und R-Fläche ausspielen. Magischer Dauerschaden und Rumbles Objective-Wert begrenzen den Nutzen von Ragnarok. Leichter Gesamt-Nachteil, keine automatisch verlorene Lane.</x:v>
      </x:c>
    </x:row>
    <x:row r="38" ht="145" customHeight="1">
      <x:c r="A38" s="3" t="str">
        <x:v>Sett</x:v>
      </x:c>
      <x:c r="B38" s="3" t="str">
        <x:v>C</x:v>
      </x:c>
      <x:c r="C38" s="3" t="str">
        <x:v>Sett bestraft frühe unkontrollierte Melee-Trades. Olaf kann nach W oder mit vermiedenem Zentrum weiterkämpfen und E-CC während R übergehen. Setts Burst ist eine Bedingung des Duells, kein genereller Beleg für ein schlechtes Gesamtmatchup.</x:v>
      </x:c>
      <x:c r="D38" s="3" t="str">
        <x:v>Conqueror</x:v>
      </x:c>
      <x:c r="E38" s="3" t="str">
        <x:v>Grit-Schild und mehrere Autozyklen verlängern das Duell. Conqueror passt zum Kampf nach Setts erster Schadensphase.</x:v>
      </x:c>
      <x:c r="F38" s="3" t="str">
        <x:v>Doran’s Blade + Health Potion</x:v>
      </x:c>
      <x:c r="G38" s="3" t="str">
        <x:v>Flash + Ghost</x:v>
      </x:c>
      <x:c r="H38" s="3" t="str">
        <x:v>Plated Steelcaps früh gegen Auto-/Q-Druck.</x:v>
      </x:c>
      <x:c r="I38" s="3" t="str">
        <x:v>Olaf bei Q-Abstand/Resets, Sett bei unkontrolliertem Nahkampf und gutem E. Nicht beide Seiten seines E mit eigenen Minions ermöglichen.</x:v>
      </x:c>
      <x:c r="J38" s="3" t="str">
        <x:v>Kurze Trades, bis W verbraucht ist. Grit beobachten; nach hoher Grit nicht statisch vor ihm stehen. W-Schild auslaufen lassen, wenn sicher.</x:v>
      </x:c>
      <x:c r="K38" s="3" t="str">
        <x:v>R verhindert Setts kontrollierende Bewegung bei rechtzeitigem Einsatz, aber nicht automatisch den Schaden seiner R/W. Position zu Turm und Team beachten.</x:v>
      </x:c>
      <x:c r="L38" s="3" t="str">
        <x:v>E-Stunbedingung, Q-Doppelschläge, Grit/W-Mitte, R-Repositionierung.</x:v>
      </x:c>
      <x:c r="M38" s="3" t="str">
        <x:v>W verbraucht/verfehlt und E fehlt. Ein volles Grit-Band ist Gefahr, kein Einladungssignal.</x:v>
      </x:c>
      <x:c r="N38" s="3" t="str">
        <x:v>W-Mitte tanken; gleichzeitig von E plus W fixiert werden; auf minimalen HP vor voller Grit stehen.</x:v>
      </x:c>
      <x:c r="O38" s="3" t="str">
        <x:v>Eigene Seite mit seitlichem Ausweichraum. Nach W-Verbrauch Slowpush. Nicht in enger Passage oder unter seiner Turmkante traden.</x:v>
      </x:c>
      <x:c r="P38" s="3" t="str">
        <x:v>Q–Auto–E, seitlich bewegen. W erzwingen, Mitte verlassen, Schild abklingen lassen; dann Auto–W–Auto und Q-Chase.</x:v>
      </x:c>
      <x:c r="Q38" s="3" t="str">
        <x:v>Ravenous Hydra für Reset-Sustain, dann Death’s Dance gegen physischen Druck. Stridebreaker erleichtert Positionierung/Kontakt, schützt aber nicht vor W-Mitte.</x:v>
      </x:c>
      <x:c r="R38" s="3" t="str">
        <x:v>Sterak’s als HP-/Schildpuffer; BotRK gegen hohen HP-Build, wenn du W ausweichst und genügend Defensive hast. Armor löst True Damage nicht.</x:v>
      </x:c>
      <x:c r="S38" s="3" t="str">
        <x:v>1 Item: W-Dodge entscheidet. 2 Items: gute Duelle nach gezogenem W. 3 Items: hoher HP-/AD-Sett bleibt mit W gefährlich, selbst aus Rückstand.</x:v>
      </x:c>
      <x:c r="T38" s="3" t="str">
        <x:v>Spiele den Kampf in zwei Phasen: W ziehen, dann wieder rein. Halte seitlichen Raum frei. Deine passive Heilung rettet dich nicht zuverlässig vor der W-Mitte.</x:v>
      </x:c>
      <x:c r="U38" s="3" t="str">
        <x:v>PTA bei kurzen Team-Catches möglich; im wiederholten Sett-All-in Conqueror bevorzugen.</x:v>
      </x:c>
      <x:c r="V38"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8" s="3" t="str">
        <x:v>26.18</x:v>
      </x:c>
      <x:c r="X38" s="3" t="str">
        <x:v>10.09.2026</x:v>
      </x:c>
      <x:c r="Y38" s="3" t="str">
        <x:v>D</x:v>
      </x:c>
      <x:c r="Z38" s="3" t="str">
        <x:v>C</x:v>
      </x:c>
      <x:c r="AA38" s="3" t="str">
        <x:v>D</x:v>
      </x:c>
      <x:c r="AB38" s="3" t="str">
        <x:v>Tier D → C. Lane D, späte Side C: Sett bestraft frühe unkontrollierte Melee-Trades. Olaf kann nach W oder mit vermiedenem Zentrum weiterkämpfen und E-CC während R übergehen. Setts Burst ist eine Bedingung des Duells, kein genereller Beleg für ein schlechtes Gesamtmatchup.</x:v>
      </x:c>
    </x:row>
    <x:row r="39" ht="145" customHeight="1">
      <x:c r="A39" s="3" t="str">
        <x:v>Shen</x:v>
      </x:c>
      <x:c r="B39" s="3" t="str">
        <x:v>B</x:v>
      </x:c>
      <x:c r="C39" s="3" t="str">
        <x:v>Shens frühes Q und W sind echte Duellwerkzeuge. Nach deren Ablauf und mit Waveclear kann Olaf lange Trades und Turmgegenwert erzeugen. Shens globale R verhindert, dass Side-Druck allein das Gesamtspiel beschreibt.</x:v>
      </x:c>
      <x:c r="D39" s="3" t="str">
        <x:v>Conqueror</x:v>
      </x:c>
      <x:c r="E39" s="3" t="str">
        <x:v>W pausiert Auto-Uptime, Q/E können Conqueror aufbauen. Nach der Zone folgt ein längerer Fight gegen Schild und HP.</x:v>
      </x:c>
      <x:c r="F39" s="3" t="str">
        <x:v>Doran’s Blade + Health Potion</x:v>
      </x:c>
      <x:c r="G39" s="3" t="str">
        <x:v>Flash + Ghost</x:v>
      </x:c>
      <x:c r="H39" s="3" t="str">
        <x:v>Keine Pflicht-Boots; Plated Steelcaps bei viel gegnerischem Auto-Schaden.</x:v>
      </x:c>
      <x:c r="I39" s="3" t="str">
        <x:v>Shen mit durch Olaf gezogener Klinge und empowered Q sehr stark. Nicht zwischen ihm und Klinge stehen; nach Q-Autos längeren Fight suchen.</x:v>
      </x:c>
      <x:c r="J39" s="3" t="str">
        <x:v>W herauslocken und verlassen. Nach E-Verbrauch ohne frisches Q-Fenster nachsetzen. Passive Schildzyklen nicht ignorieren.</x:v>
      </x:c>
      <x:c r="K39" s="3" t="str">
        <x:v>R nimmt Taunt, nicht W-Auto-Block. Shen-R auf andere Lane: früh pingen. Olaf hat keinen Hard-CC, um den Kanal abzubrechen; deshalb rechtzeitig durch Crash/Turm bestrafen.</x:v>
      </x:c>
      <x:c r="L39" s="3" t="str">
        <x:v>Klingenposition/empowered Q, W-Zone, E-Taunt, passive Schild, globale R.</x:v>
      </x:c>
      <x:c r="M39" s="3" t="str">
        <x:v>W beendet und E verbraucht. Nach seinen empowered Q-Autos besseres Nahkampffenster.</x:v>
      </x:c>
      <x:c r="N39" s="3" t="str">
        <x:v>W-Autos in seine Schutzfläche verschwenden; vor 6 Klinge durchziehen lassen; R-Roam ohne Wave-Gegenwert zulassen.</x:v>
      </x:c>
      <x:c r="O39" s="3" t="str">
        <x:v>Früh nicht blind pushen. Später Slowpush zur möglichen R-Rotation, damit sein Verlassen der Lane Minions/Turm kostet.</x:v>
      </x:c>
      <x:c r="P39" s="3" t="str">
        <x:v>Q treffen, Klingenlinie vermeiden, Auto–E. W-Zone kurz verlassen, danach Auto–W–Auto; R für E im tatsächlichen Commit.</x:v>
      </x:c>
      <x:c r="Q39" s="3" t="str">
        <x:v>Ravenous Hydra für Waveclear und Sustain, dann Black Cleaver gegen Armor oder Death’s Dance gegen AD-Comp.</x:v>
      </x:c>
      <x:c r="R39" s="3" t="str">
        <x:v>Hullbreaker nach Kampf-Basis, wenn Shen wiederholt wegultet und du sicher Türme schlagen kannst. Nicht kaufen, wenn du ständig zu Objectives gruppieren musst.</x:v>
      </x:c>
      <x:c r="S39" s="3" t="str">
        <x:v>1 Item: Waveclear bestraft R. 2 Items: lange Duelle spielbar nach W. 3 Items: Side-Druck gut, Shens globaler Einfluss kann dennoch größer sein.</x:v>
      </x:c>
      <x:c r="T39" s="3" t="str">
        <x:v>Respektiere Klinge und W, bis Shen seine defensive Phase verbraucht hat. Kämpfe erst dann durch. Bereite Waves so vor, dass seine globale R einen echten Preis hat.</x:v>
      </x:c>
      <x:c r="U39" s="3" t="str">
        <x:v>PTA bei überwiegend kurzen Carry-Catches; Lane-W bleibt ein Gegenargument gegen erzwungene drei Autos.</x:v>
      </x:c>
      <x:c r="V39"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39" s="3" t="str">
        <x:v>26.18</x:v>
      </x:c>
      <x:c r="X39" s="3" t="str">
        <x:v>10.09.2026</x:v>
      </x:c>
      <x:c r="Y39" s="3" t="str">
        <x:v>C</x:v>
      </x:c>
      <x:c r="Z39" s="3" t="str">
        <x:v>B</x:v>
      </x:c>
      <x:c r="AA39" s="3" t="str">
        <x:v>B</x:v>
      </x:c>
      <x:c r="AB39" s="3" t="str">
        <x:v>Tier beibehalten. Lane C, späte Side B: Shens frühes Q und W sind echte Duellwerkzeuge. Nach deren Ablauf und mit Waveclear kann Olaf lange Trades und Turmgegenwert erzeugen. Shens globale R verhindert, dass Side-Druck allein das Gesamtspiel beschreibt.</x:v>
      </x:c>
    </x:row>
    <x:row r="40" ht="145" customHeight="1">
      <x:c r="A40" s="3" t="str">
        <x:v>Singed</x:v>
      </x:c>
      <x:c r="B40" s="3" t="str">
        <x:v>B</x:v>
      </x:c>
      <x:c r="C40" s="3" t="str">
        <x:v>Olaf kann direkten Kontakt gewinnen und mit R Fling/Slow übergehen. Singed kann Duelle verweigern und über Proxy oder Teamkampf gewinnen. Vorteil nur beim Abschneiden seines Wegs, nicht beim Hinterherlaufen durch Gift.</x:v>
      </x:c>
      <x:c r="D40" s="3" t="str">
        <x:v>Conqueror</x:v>
      </x:c>
      <x:c r="E40" s="3" t="str">
        <x:v>Wiederholte kurze Kontakte und Singed-R-Defensivwerte machen den Fight länger. PTA scheitert oft an fehlenden drei ununterbrochenen Autos.</x:v>
      </x:c>
      <x:c r="F40" s="3" t="str">
        <x:v>Doran’s Shield + Health Potion</x:v>
      </x:c>
      <x:c r="G40" s="3" t="str">
        <x:v>Flash + Ghost</x:v>
      </x:c>
      <x:c r="H40" s="3" t="str">
        <x:v>Boots of Swiftness gegen dauerhaftes Spacing; MR nach Comp.</x:v>
      </x:c>
      <x:c r="I40" s="3" t="str">
        <x:v>Olaf im direkten Nahkampf, Singed beim Hinterherlaufen durch Gift. Q auf seinen Weg, nicht minutenlang hinter seiner Spur herlaufen.</x:v>
      </x:c>
      <x:c r="J40" s="3" t="str">
        <x:v>Fling-Verbrauch nutzen und vor Singed statt hinter ihn laufen. W-Zone vor 6 respektieren. Proxy nicht ohne Wave-/Jungle-Abwägung verfolgen.</x:v>
      </x:c>
      <x:c r="K40" s="3" t="str">
        <x:v>R neutralisiert Kontrolle, nicht Gift oder die Heilungsreduktion seines R-verstärkten Q. Aktive Singed-R ist oft ein Grund, den Chase abzubrechen.</x:v>
      </x:c>
      <x:c r="L40" s="3" t="str">
        <x:v>Q-Giftspur, E-Fling, W-Zone, R-Tempo/Defensive und Antiheal.</x:v>
      </x:c>
      <x:c r="M40" s="3" t="str">
        <x:v>R beendet, E verbraucht und Fluchtweg abgeschnitten. Proxy nur mit sicherem zweiten Zugriff als Killfenster.</x:v>
      </x:c>
      <x:c r="N40" s="3" t="str">
        <x:v>Blind Gift nachlaufen; Wave für aussichtslosen Proxy-Chase verlieren; mit geringer HP seine R-Heilungsreduktion ignorieren.</x:v>
      </x:c>
      <x:c r="O40" s="3" t="str">
        <x:v>Waves sicher einsammeln, Crash/Reset planen. Freeze nur solange Singed die Lane wirklich spielt. Gegen Proxy lieber Ressourcen sichern und Ausgangswege bedrohen.</x:v>
      </x:c>
      <x:c r="P40" s="3" t="str">
        <x:v>Q vorauswerfen, seitlich abschneiden, Auto–E–W–Auto bei Kontakt. Wenn er R zündet und Abstand schafft, Wave nehmen statt eigene R ohne Verlängerung zu verbrennen.</x:v>
      </x:c>
      <x:c r="Q40" s="3" t="str">
        <x:v>Stridebreaker für Kontakt, danach Maw bei AP-Druck. Ravenous Hydra, wenn Proxy und Sustain wichtiger als Solo-Kills sind.</x:v>
      </x:c>
      <x:c r="R40" s="3" t="str">
        <x:v>Hullbreaker für sichere Turmzeit nach Push, nicht als Antwort auf jeden Proxy. Spirit Visage bei AP/Verbündetenheilung; Antiheal reduziert trotzdem deinen Sustain.</x:v>
      </x:c>
      <x:c r="S40" s="3" t="str">
        <x:v>1 Item: Kontakt bleibt Hauptfrage. 2 Items: MR hilft, erzwingt aber keine Kills. 3 Items: Singed kann Duelle verweigern und im Teamfight stören; Wave- und Objective-Wert zählen.</x:v>
      </x:c>
      <x:c r="T40" s="3" t="str">
        <x:v>Schneide Singed den Weg ab, statt Gift zu verfolgen. Nutze fehlende R oder verbrauchtes E. Wenn er keinen Fight anbietet, gewinne über Waves und sichere Türme.</x:v>
      </x:c>
      <x:c r="U40" s="3" t="str">
        <x:v>PTA, wenn die restliche Comp kurze sichere Auto-Catches bietet und du Singed nur auspushst.</x:v>
      </x:c>
      <x:c r="V40"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0" s="3" t="str">
        <x:v>26.18</x:v>
      </x:c>
      <x:c r="X40" s="3" t="str">
        <x:v>10.09.2026</x:v>
      </x:c>
      <x:c r="Y40" s="3" t="str">
        <x:v>B</x:v>
      </x:c>
      <x:c r="Z40" s="3" t="str">
        <x:v>C</x:v>
      </x:c>
      <x:c r="AA40" s="3" t="str">
        <x:v>B</x:v>
      </x:c>
      <x:c r="AB40" s="3" t="str">
        <x:v>Tier beibehalten. Lane B, späte Side C: Olaf kann direkten Kontakt gewinnen und mit R Fling/Slow übergehen. Singed kann Duelle verweigern und über Proxy oder Teamkampf gewinnen. Vorteil nur beim Abschneiden seines Wegs, nicht beim Hinterherlaufen durch Gift.</x:v>
      </x:c>
    </x:row>
    <x:row r="41" ht="145" customHeight="1">
      <x:c r="A41" s="3" t="str">
        <x:v>Sion</x:v>
      </x:c>
      <x:c r="B41" s="3" t="str">
        <x:v>B</x:v>
      </x:c>
      <x:c r="C41" s="3" t="str">
        <x:v>Nach verfehltem Q kann Olaf Sustain und True Damage für Druck nutzen. Sion kann mit HP, Waveclear und Flucht-R Zeit gewinnen. Die Lane ist günstig, ein deutlicher Gesamtvorteil war zu sicher formuliert.</x:v>
      </x:c>
      <x:c r="D41" s="3" t="str">
        <x:v>Conqueror</x:v>
      </x:c>
      <x:c r="E41" s="3" t="str">
        <x:v>Hohe effektive HP und W-Schild verlangen mehrere Auto-/E-Zyklen. Conqueror passt besser als kurzer Frontload.</x:v>
      </x:c>
      <x:c r="F41" s="3" t="str">
        <x:v>Doran’s Blade + Health Potion</x:v>
      </x:c>
      <x:c r="G41" s="3" t="str">
        <x:v>Flash + Ghost</x:v>
      </x:c>
      <x:c r="H41" s="3" t="str">
        <x:v>Basis-Boots zum Q-Verlassen; Upgrades nach Comp.</x:v>
      </x:c>
      <x:c r="I41" s="3" t="str">
        <x:v>Olaf nach ausgewichenem Q. Nicht für Axtpickup im geladenen Q stehen; seitlich aus dem Kegel.</x:v>
      </x:c>
      <x:c r="J41" s="3" t="str">
        <x:v>Q verfehlt und W verbraucht: langer Trade. Shield-Burst vermeiden und E-Minions nicht geradlinig tanken.</x:v>
      </x:c>
      <x:c r="K41" s="3" t="str">
        <x:v>R verhindert Knock-up/Stun, nicht R-Aufprallschaden. Sion kann seine R zur Flucht nutzen; ohne Killchance Wave/Turm nehmen.</x:v>
      </x:c>
      <x:c r="L41" s="3" t="str">
        <x:v>Q-Aufladung, W-Schild/Explosion, E-Slow, R-Flucht, Todespassive.</x:v>
      </x:c>
      <x:c r="M41" s="3" t="str">
        <x:v>Q verfehlt plus W weg. R-CD nimmt den langen Fluchtweg. Nach Kill der Todespassive sicher ausweichen.</x:v>
      </x:c>
      <x:c r="N41" s="3" t="str">
        <x:v>Q voll tanken; nach Kill für Minions neben Zombie stehen; R durch gegnerische Turmzone verfolgen.</x:v>
      </x:c>
      <x:c r="O41" s="3" t="str">
        <x:v>Slowpush und Bounce zu dir für lange Trades. Hydra nutzen, um seine Pushstrategie zu beantworten. Nicht für Kill eine große Wave verlieren.</x:v>
      </x:c>
      <x:c r="P41" s="3" t="str">
        <x:v>Q treffen, seinen Q-Kegel seitlich verlassen, Auto–E. Nach W-Burst Auto–W–Auto und kurze Äxte; eigene R erst bei sicherem Anschluss.</x:v>
      </x:c>
      <x:c r="Q41" s="3" t="str">
        <x:v>Ravenous Hydra, danach Black Cleaver gegen Armor. BotRK als zweite Alternative gegen viel HP bei wenig Armor und ausreichendem Überleben.</x:v>
      </x:c>
      <x:c r="R41" s="3" t="str">
        <x:v>Hullbreaker, wenn du dauerhaft Side/Türme spielen kannst. Sterak’s gegen gegnerischen Team-Burst. Kein voller Crit-Build allein, weil Sion langsam ist.</x:v>
      </x:c>
      <x:c r="S41" s="3" t="str">
        <x:v>1 Item: gute Sustain-Lane. 2 Items: Shred oder HP-Schaden hält Side-Druck. 3 Items: riesige HP können Kills verlangsamen; Wave und Türme wichtiger als ständiges All-in.</x:v>
      </x:c>
      <x:c r="T41" s="3" t="str">
        <x:v>Weiche dem geladenen Q aus und greife nach W an. Nutze deinen Druck für Waves und Türme. Nach dem Kill Abstand zur Todespassive halten.</x:v>
      </x:c>
      <x:c r="U41" s="3" t="str">
        <x:v>PTA bei fragiler Backline und wenn Sion auf der Side nur gecleart werden muss.</x:v>
      </x:c>
      <x:c r="V41"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1" s="3" t="str">
        <x:v>26.18</x:v>
      </x:c>
      <x:c r="X41" s="3" t="str">
        <x:v>10.09.2026</x:v>
      </x:c>
      <x:c r="Y41" s="3" t="str">
        <x:v>B</x:v>
      </x:c>
      <x:c r="Z41" s="3" t="str">
        <x:v>B</x:v>
      </x:c>
      <x:c r="AA41" s="3" t="str">
        <x:v>A</x:v>
      </x:c>
      <x:c r="AB41" s="3" t="str">
        <x:v>Tier A → B. Lane B, späte Side B: Nach verfehltem Q kann Olaf Sustain und True Damage für Druck nutzen. Sion kann mit HP, Waveclear und Flucht-R Zeit gewinnen. Die Lane ist günstig, ein deutlicher Gesamtvorteil war zu sicher formuliert.</x:v>
      </x:c>
    </x:row>
    <x:row r="42" ht="145" customHeight="1">
      <x:c r="A42" s="3" t="str">
        <x:v>Sylas</x:v>
      </x:c>
      <x:c r="B42" s="3" t="str">
        <x:v>B</x:v>
      </x:c>
      <x:c r="C42" s="3" t="str">
        <x:v>Olaf kann nach E2-Verfehlung lange Melee-Fights suchen. Sylas-W und gestohlene Ults verändern das Fenster. Die günstige Statistik besitzt eine kleinere Stichprobe und rechtfertigt allein kein höheres Tier.</x:v>
      </x:c>
      <x:c r="D42" s="3" t="str">
        <x:v>Conqueror</x:v>
      </x:c>
      <x:c r="E42" s="3" t="str">
        <x:v>W-Heilung und erneute E-/Passivzyklen verlangen anhaltenden Schaden. Conqueror profitiert vom langen Nahkampf.</x:v>
      </x:c>
      <x:c r="F42" s="3" t="str">
        <x:v>Doran’s Blade + Health Potion</x:v>
      </x:c>
      <x:c r="G42" s="3" t="str">
        <x:v>Flash + Ghost</x:v>
      </x:c>
      <x:c r="H42" s="3" t="str">
        <x:v>Frühe Boots zum E-Dodgen; Mercury’s bei AP/CC-Comp.</x:v>
      </x:c>
      <x:c r="I42" s="3" t="str">
        <x:v>Olaf im langen Fight mit Q-Resets. Sylas-Passivautos nach E nicht gratis tanken; nach seinem Spellzyklus Platz gewinnen.</x:v>
      </x:c>
      <x:c r="J42" s="3" t="str">
        <x:v>E2 durch Minions erschweren. Nach E-Verbrauch gehen, W-Heilung bei niedrigen HP einplanen. Kein Dive nur aufgrund seiner aktuellen HP.</x:v>
      </x:c>
      <x:c r="K42" s="3" t="str">
        <x:v>Sylas kann Ragnarok stehlen und selbst CC-immun kämpfen. Dein Q-Slow ist dann keine verlässliche Bindung; sein eigener Schadens-/Heilungszyklus bleibt relevant.</x:v>
      </x:c>
      <x:c r="L42" s="3" t="str">
        <x:v>W-Heilung, E2-Zugang, passive Autos, gestohlene R.</x:v>
      </x:c>
      <x:c r="M42" s="3" t="str">
        <x:v>W gerade benutzt und E verfehlt/weg. Gestohlene R beendet verbessert deinen Q-Chase.</x:v>
      </x:c>
      <x:c r="N42" s="3" t="str">
        <x:v>Sein W auf Low-HP ignorieren; gestohlene Olaf-R als nutzlos ansehen; für E2 freien Winkel anbieten.</x:v>
      </x:c>
      <x:c r="O42" s="3" t="str">
        <x:v>Eigene Seite mit Minion-Schutz gegen E2. Nach gutem Trade Slowpush; ohne W-Fenster keine Low-HP-Turmjagd.</x:v>
      </x:c>
      <x:c r="P42" s="3" t="str">
        <x:v>Q treffen, E2 ausweichen, Auto–E. W-Heilung mitrechnen, danach eigenes W–Auto und kurze Qs; bei gestohlener R auf Laufwege statt Slow vertrauen.</x:v>
      </x:c>
      <x:c r="Q42" s="3" t="str">
        <x:v>Ravenous Hydra für wiederholte Trades, danach Maw. Stridebreaker bei Kontaktproblemen, dessen Slow gegen aktive gestohlene R nicht einplanen.</x:v>
      </x:c>
      <x:c r="R42" s="3" t="str">
        <x:v>Executioner’s vor knappem All-in, wenn W den Unterschied macht. Spirit Visage später bei mehreren AP-Quellen und Teamheilung.</x:v>
      </x:c>
      <x:c r="S42" s="3" t="str">
        <x:v>1 Item: stabile lange Trades bei guten HP. 2 Items: Maw hilft gegen Burst. 3 Items: gestohlene Ult-Auswahl im Gesamtspiel kann stärker wiegen als das Lane-Duell.</x:v>
      </x:c>
      <x:c r="T42" s="3" t="str">
        <x:v>Blockiere E2 mit der Wave und greife nach W an. Rechne seine Heilung in den Kill ein. Wenn er Ragnarok stiehlt, brauchst du echten Kontakt statt eines Q-Slows.</x:v>
      </x:c>
      <x:c r="U42" s="3" t="str">
        <x:v>PTA bei vier fragilen Zielen und kurzem Zugriff; Conqueror, wenn Sylas/weitere Melees wiederholt durchgekämpft werden müssen.</x:v>
      </x:c>
      <x:c r="V42"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2" s="3" t="str">
        <x:v>26.18</x:v>
      </x:c>
      <x:c r="X42" s="3" t="str">
        <x:v>10.09.2026</x:v>
      </x:c>
      <x:c r="Y42" s="3" t="str">
        <x:v>B</x:v>
      </x:c>
      <x:c r="Z42" s="3" t="str">
        <x:v>C</x:v>
      </x:c>
      <x:c r="AA42" s="3" t="str">
        <x:v>B</x:v>
      </x:c>
      <x:c r="AB42" s="3" t="str">
        <x:v>Tier beibehalten. Lane B, späte Side C: Olaf kann nach E2-Verfehlung lange Melee-Fights suchen. Sylas-W und gestohlene Ults verändern das Fenster. Die günstige Statistik besitzt eine kleinere Stichprobe und rechtfertigt allein kein höheres Tier.</x:v>
      </x:c>
    </x:row>
    <x:row r="43" ht="145" customHeight="1">
      <x:c r="A43" s="3" t="str">
        <x:v>Tahm Kench</x:v>
      </x:c>
      <x:c r="B43" s="3" t="str">
        <x:v>C</x:v>
      </x:c>
      <x:c r="C43" s="3" t="str">
        <x:v>Olaf kann Tahm nach verfehltem Q bedrohen und Devour mit aktiver R verhindern. Heilung, Schild und große effektive HP machen den Abschluss schwer. Lane-Druck lässt sich nicht automatisch in Kills umwandeln.</x:v>
      </x:c>
      <x:c r="D43" s="3" t="str">
        <x:v>Conqueror</x:v>
      </x:c>
      <x:c r="E43" s="3" t="str">
        <x:v>Mehrere effektive HP-Balken und Q-Heilung brauchen nachhaltigen Schaden. PTA allein überwindet seine defensive Phase selten.</x:v>
      </x:c>
      <x:c r="F43" s="3" t="str">
        <x:v>Doran’s Shield + Health Potion</x:v>
      </x:c>
      <x:c r="G43" s="3" t="str">
        <x:v>Flash + Ghost</x:v>
      </x:c>
      <x:c r="H43" s="3" t="str">
        <x:v>Frühe Boots für Q/W-Dodge; Mercury’s nur mit zusätzlichem AP/CC-Wert.</x:v>
      </x:c>
      <x:c r="I43" s="3" t="str">
        <x:v>Olaf im freien langen Kontakt mit Q-Resets. Tahm gewinnt einzelne Q/Auto-Trades; Q hinter Minions vermeiden.</x:v>
      </x:c>
      <x:c r="J43" s="3" t="str">
        <x:v>Passive Stacks beobachten; bei hoher Stackzahl nicht zur Turmseite ziehen lassen. Nach Q-Verfehlung und W-Verbrauch verlängern.</x:v>
      </x:c>
      <x:c r="K43" s="3" t="str">
        <x:v>Aktives Olaf-R verhindert gegnerisches Verschlingen. Nicht darauf bauen, nach bereits erfolgreichem Devour noch frei reagieren zu können. R rechtzeitig bei drohendem dritten Stack nutzen.</x:v>
      </x:c>
      <x:c r="L43" s="3" t="str">
        <x:v>Q-Heilung/Stun, drei passive Stacks, W-Zielkreis, E-graue HP/Schild, R-Devour.</x:v>
      </x:c>
      <x:c r="M43" s="3" t="str">
        <x:v>Q verfehlt und W benutzt; E-Schild abgelaufen. Mehrere defensive Werkzeuge zusammen weg sind wichtiger als ein einzelner Q-CD.</x:v>
      </x:c>
      <x:c r="N43" s="3" t="str">
        <x:v>Graue HP ignorieren; drei Stacks am gegnerischen Turm zulassen; im W-Landekreis stehen bleiben.</x:v>
      </x:c>
      <x:c r="O43" s="3" t="str">
        <x:v>Auf eigener Seite halten, damit Devour keinen Turmkill vorbereitet. Nach verbrauchtem W Crash; Freeze nicht mit riesiger gegnerischer Wave erzwingen.</x:v>
      </x:c>
      <x:c r="P43" s="3" t="str">
        <x:v>Q durch Minionwinkel vermeiden, eigene Q treffen, Auto–E. W-Kreis verlassen; nach Schildphase Auto–W–Auto. R vor drohendem Devour im Commit.</x:v>
      </x:c>
      <x:c r="Q43" s="3" t="str">
        <x:v>Ravenous Hydra für Sustain, danach Black Cleaver gegen Armor. BotRK bei hohem HP-Anteil und beherrschbarem Armor-Wert als offensive Alternative.</x:v>
      </x:c>
      <x:c r="R43" s="3" t="str">
        <x:v>Executioner’s bei relevanter Q-/Build-Heilung, nicht als Schildkonter. Maw bei AP-Burst; Sterak’s bei gemischter Bedrohung.</x:v>
      </x:c>
      <x:c r="S43" s="3" t="str">
        <x:v>1 Item: schwer zu töten ohne lange Lane. 2 Items: Shred/HP-Schaden verbessert Duell. 3 Items: Armor, Schildtiming und Teamhilfe entscheiden; Tahm kann lange stallen.</x:v>
      </x:c>
      <x:c r="T43" s="3" t="str">
        <x:v>Halte die Wave fern vom gegnerischen Turm. Kämpfe nach verfehltem Q und verbrauchtem W, mit seinem Schild als eigener Phase. Setze R rechtzeitig gegen drohendes Verschlingen ein.</x:v>
      </x:c>
      <x:c r="U43" s="3" t="str">
        <x:v>PTA bei kurzen Carry-Catches im Gesamtspiel; für Tahms lange Side-Duelle Conqueror.</x:v>
      </x:c>
      <x:c r="V43"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3" s="3" t="str">
        <x:v>26.18</x:v>
      </x:c>
      <x:c r="X43" s="3" t="str">
        <x:v>10.09.2026</x:v>
      </x:c>
      <x:c r="Y43" s="3" t="str">
        <x:v>B</x:v>
      </x:c>
      <x:c r="Z43" s="3" t="str">
        <x:v>C</x:v>
      </x:c>
      <x:c r="AA43" s="3" t="str">
        <x:v>C</x:v>
      </x:c>
      <x:c r="AB43" s="3" t="str">
        <x:v>Tier beibehalten. Lane B, späte Side C: Olaf kann Tahm nach verfehltem Q bedrohen und Devour mit aktiver R verhindern. Heilung, Schild und große effektive HP machen den Abschluss schwer. Lane-Druck lässt sich nicht automatisch in Kills umwandeln.</x:v>
      </x:c>
    </x:row>
    <x:row r="44" ht="145" customHeight="1">
      <x:c r="A44" s="3" t="str">
        <x:v>Teemo</x:v>
      </x:c>
      <x:c r="B44" s="3" t="str">
        <x:v>A</x:v>
      </x:c>
      <x:c r="C44" s="3" t="str">
        <x:v>Olaf-R entfernt den Blind als wichtigstes direktes Duellhindernis. Mit gesundem Einstieg kann Olaf ihn auf langer Lane verfolgen. Pilze und vor Kontakt erlittener Poke bleiben relevante Grenzen.</x:v>
      </x:c>
      <x:c r="D44" s="3" t="str">
        <x:v>PTA</x:v>
      </x:c>
      <x:c r="E44" s="3" t="str">
        <x:v>Mit R oder nach Blind-Ende sind drei Autos im kurzen Kontaktfenster realistisch. Ohne dieses Fenster ist PTA nicht zuverlässig.</x:v>
      </x:c>
      <x:c r="F44" s="3" t="str">
        <x:v>Doran’s Shield + Health Potion</x:v>
      </x:c>
      <x:c r="G44" s="3" t="str">
        <x:v>Flash + Ghost</x:v>
      </x:c>
      <x:c r="H44" s="3" t="str">
        <x:v>Frühe Boots; Mercury’s bei AP-Schaden, Swiftness bei dominierendem Kiting.</x:v>
      </x:c>
      <x:c r="I44" s="3" t="str">
        <x:v>Teemo bestimmt sichere Range-Autos. Olaf mit Q-Treffer und langer Chase-Linie stark; nicht blind in Minionaggro nachlaufen.</x:v>
      </x:c>
      <x:c r="J44" s="3" t="str">
        <x:v>Blind herauslocken. Währenddessen Q/E nutzen oder Abstand, eigenes W-Autofenster nach Blind legen. HP für den späteren Einstieg erhalten.</x:v>
      </x:c>
      <x:c r="K44" s="3" t="str">
        <x:v>R entfernt/verhindert Blind, nicht Gift- und Pilzschaden. Sicheren Laufweg mit Sweeper vorbereiten; ein aufgedeckter Pilz ist noch gefährlich.</x:v>
      </x:c>
      <x:c r="L44" s="3" t="str">
        <x:v>Q-Blind, E-Gift, W-Tempo, R-Pilze und passive Unsichtbarkeit.</x:v>
      </x:c>
      <x:c r="M44" s="3" t="str">
        <x:v>Q weg vor 6; W-Tempo verbraucht; ab 6 R/Ghost plus freier Weg und ausreichend HP.</x:v>
      </x:c>
      <x:c r="N44" s="3" t="str">
        <x:v>W-Autos in Blind verschwenden; durch mehrere Pilze chasen; Sweeper als automatische Entschärfung oder True Sight behandeln.</x:v>
      </x:c>
      <x:c r="O44" s="3" t="str">
        <x:v>Früh Wave zu dir, ausdünnen statt unter riesigem Stack tanken. Nach gewonnenem Trade crashen; vor erneutem langen Push Pilzzonen prüfen.</x:v>
      </x:c>
      <x:c r="P44" s="3" t="str">
        <x:v>Q treffen, nach Blind entweder warten oder R im Commit. Auto–W–Auto–Auto, E zwischen Autos; kurze Qs und pilzarmen Fluchtweg wählen.</x:v>
      </x:c>
      <x:c r="Q44" s="3" t="str">
        <x:v>Stridebreaker für Kontakt, danach Maw bei AP-Druck. Ravenous Hydra statt Stride, wenn wiederholter Poke den Zugang verhindert.</x:v>
      </x:c>
      <x:c r="R44" s="3" t="str">
        <x:v>Sweeper/Control Wards zur Wegkontrolle. Fiendhunter Bolts nur bei sicherer Uptime; Spirit Visage später gegen AP und mit zusätzlicher Teamheilung.</x:v>
      </x:c>
      <x:c r="S44" s="3" t="str">
        <x:v>1 Item: R/Stride erlauben Druck. 2 Items: MR stabilisiert. 3 Items: Pilznetz und Kiting können Side verweigern; nicht ohne Vorbereitung in seine Zone.</x:v>
      </x:c>
      <x:c r="T44" s="3" t="str">
        <x:v>Bewahre HP bis zu einem echten Kontaktfenster. Neutralisiere Blind mit R und benutze W erst für treffende Autos. Deine Route durch die Pilze ist oft wichtiger als ein weiteres Schadensitem.</x:v>
      </x:c>
      <x:c r="U44" s="3" t="str">
        <x:v>Conqueror bei mehreren langlebigen Melees im restlichen Team; Teemo allein rechtfertigt dann nicht zwingend PTA.</x:v>
      </x:c>
      <x:c r="V44"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4" s="3" t="str">
        <x:v>26.18</x:v>
      </x:c>
      <x:c r="X44" s="3" t="str">
        <x:v>10.09.2026</x:v>
      </x:c>
      <x:c r="Y44" s="3" t="str">
        <x:v>A</x:v>
      </x:c>
      <x:c r="Z44" s="3" t="str">
        <x:v>B</x:v>
      </x:c>
      <x:c r="AA44" s="3" t="str">
        <x:v>A</x:v>
      </x:c>
      <x:c r="AB44" s="3" t="str">
        <x:v>Tier beibehalten. Lane A, späte Side B: Olaf-R entfernt den Blind als wichtigstes direktes Duellhindernis. Mit gesundem Einstieg kann Olaf ihn auf langer Lane verfolgen. Pilze und vor Kontakt erlittener Poke bleiben relevante Grenzen.</x:v>
      </x:c>
    </x:row>
    <x:row r="45" ht="145" customHeight="1">
      <x:c r="A45" s="3" t="str">
        <x:v>Trundle</x:v>
      </x:c>
      <x:c r="B45" s="3" t="str">
        <x:v>E</x:v>
      </x:c>
      <x:c r="C45" s="3" t="str">
        <x:v>AD-Verschiebung durch Q, W und R-Stat-Steal treffen Olafs langen Nahkampf direkt. Olaf muss W-Zone und R-Zeitfenster gezielt umgehen. Der deutliche Nachteil hat sowohl einen Kit-Grund als auch negative unterstützende Paarungsdaten.</x:v>
      </x:c>
      <x:c r="D45" s="3" t="str">
        <x:v>Conqueror</x:v>
      </x:c>
      <x:c r="E45" s="3" t="str">
        <x:v>Beide heilen und liefern über viele Autos Schaden. Conqueror ist für den langen Statcheck passender als kurzer PTA-Frontload.</x:v>
      </x:c>
      <x:c r="F45" s="3" t="str">
        <x:v>Doran’s Blade + Health Potion</x:v>
      </x:c>
      <x:c r="G45" s="3" t="str">
        <x:v>Flash + Ghost</x:v>
      </x:c>
      <x:c r="H45" s="3" t="str">
        <x:v>Plated Steelcaps früh gegen Auto-/Q-Schaden.</x:v>
      </x:c>
      <x:c r="I45" s="3" t="str">
        <x:v>Nicht blind statchecken: Trundle-Q verschiebt AD zu seinen Gunsten. Mit Q-Reichweite traden und ohne freien Rückweg keinen reinen Auto-Fight erzwingen.</x:v>
      </x:c>
      <x:c r="J45" s="3" t="str">
        <x:v>Außerhalb seiner W-Zone kämpfen. Nach Q kurz handeln, aber dessen schneller Rückkehr bewusst bleiben. Säule kann Axe-Pickups und Rückzug blockieren.</x:v>
      </x:c>
      <x:c r="K45" s="3" t="str">
        <x:v>Olaf-R reinigt Trundles Stat-Steal nicht. Seine R ziehen, per Q Abstand herstellen und nach Ende neu prüfen; eigener R-Einsatz ist kein automatischer Counter.</x:v>
      </x:c>
      <x:c r="L45" s="3" t="str">
        <x:v>Q-AD-Steal/Reset, W-Zone, E-Säule als Terrain, R-Stat-Steal/Drain.</x:v>
      </x:c>
      <x:c r="M45" s="3" t="str">
        <x:v>W und R beendet; E verbraucht öffnet Rückweg. Ein einzelnes Q auf Minion reicht selten für volles All-in.</x:v>
      </x:c>
      <x:c r="N45" s="3" t="str">
        <x:v>In W plus R stehenbleiben; Säule mit R durchlaufen wollen; niedrige HP als sicheren Vorteil ansehen.</x:v>
      </x:c>
      <x:c r="O45" s="3" t="str">
        <x:v>Wave auf eigener Seite, aber genügend Platz weg von W/Säule. Nach gezogenem R crashen oder resetten; keine endlose stationäre Farmduell-Abmachung.</x:v>
      </x:c>
      <x:c r="P45" s="3" t="str">
        <x:v>Q–E und wenige Autos außerhalb W. Bei R per Q kiten, wenn möglich; nach Buff-Ende Auto–W–Auto und kurze Äxte für den erneuten Fight.</x:v>
      </x:c>
      <x:c r="Q45" s="3" t="str">
        <x:v>Ravenous Hydra für kurze Trades/Reset-Sustain, danach Death’s Dance. Stridebreaker erleichtert Abstand und Wiederkontakt, gewinnt den Statcheck aber nicht allein.</x:v>
      </x:c>
      <x:c r="R45" s="3" t="str">
        <x:v>Executioner’s bei entscheidendem Heal-Fight; BotRK erst mit ausreichend Defensive. Randuin’s gegen Crit-Anteile der Gesamtcomp, nicht als genereller Trundle-Counter.</x:v>
      </x:c>
      <x:c r="S45" s="3" t="str">
        <x:v>1 Item: Trundle im reinen Duell gefährlich. 2 Items: R/W-Management bleibt entscheidend. 3 Items: seine Side/Turmdrohung ist groß; Hilfe und Objective-Timing nutzen.</x:v>
      </x:c>
      <x:c r="T45" s="3" t="str">
        <x:v>Kämpfe nicht stationär in Trundles W und R. Ziehe seine Buffs, schaffe Abstand und suche den zweiten Einstieg. Deine R entfernt weder Säule noch Stat-Steal.</x:v>
      </x:c>
      <x:c r="U45" s="3" t="str">
        <x:v>PTA für kurze Team-Catches möglich; ohne Side-Hilfe verschärft fehlender Conqueror das Trundle-Duell.</x:v>
      </x:c>
      <x:c r="V45"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5" s="3" t="str">
        <x:v>26.18</x:v>
      </x:c>
      <x:c r="X45" s="3" t="str">
        <x:v>10.09.2026</x:v>
      </x:c>
      <x:c r="Y45" s="3" t="str">
        <x:v>D</x:v>
      </x:c>
      <x:c r="Z45" s="3" t="str">
        <x:v>E</x:v>
      </x:c>
      <x:c r="AA45" s="3" t="str">
        <x:v>E</x:v>
      </x:c>
      <x:c r="AB45" s="3" t="str">
        <x:v>Tier beibehalten. Lane D, späte Side E: AD-Verschiebung durch Q, W und R-Stat-Steal treffen Olafs langen Nahkampf direkt. Olaf muss W-Zone und R-Zeitfenster gezielt umgehen. Der deutliche Nachteil hat sowohl einen Kit-Grund als auch negative unterstützende Paarungsdaten.</x:v>
      </x:c>
    </x:row>
    <x:row r="46" ht="145" customHeight="1">
      <x:c r="A46" s="3" t="str">
        <x:v>Tryndamere</x:v>
      </x:c>
      <x:c r="B46" s="3" t="str">
        <x:v>E</x:v>
      </x:c>
      <x:c r="C46" s="3" t="str">
        <x:v>Olaf kann vor 6 über Fury und Äxte Druck erzeugen. Danach erzwingt Tryndameres R eine Überlebensphase, die Olaf nicht mit eigener CC-Immunität auflöst. Sehr schwierig, aber mit Armor, Q-Kiting und Fury-Denial kein pauschales F.</x:v>
      </x:c>
      <x:c r="D46" s="3" t="str">
        <x:v>Conqueror</x:v>
      </x:c>
      <x:c r="E46" s="3" t="str">
        <x:v>Das Duell umfasst seine Unsterblichkeitsphase und einen möglichen Re-engage. PTA-Burst kann R erzwingen, löst aber die folgende Überlebensphase nicht.</x:v>
      </x:c>
      <x:c r="F46" s="3" t="str">
        <x:v>Doran’s Blade + Health Potion</x:v>
      </x:c>
      <x:c r="G46" s="3" t="str">
        <x:v>Flash + Ghost</x:v>
      </x:c>
      <x:c r="H46" s="3" t="str">
        <x:v>Plated Steelcaps früh; Armor hilft gegen seine Auto-Kette.</x:v>
      </x:c>
      <x:c r="I46" s="3" t="str">
        <x:v>Olaf bei geringer gegnerischer Fury und Q-Abstand. Gegen volle Fury keinen zufallsabhängigen Crit-Statcheck eingehen.</x:v>
      </x:c>
      <x:c r="J46" s="3" t="str">
        <x:v>Fury-Aufbau an Minions bedrohen, nach Q-Heilung ohne Fury handeln. E-Verbrauch erleichtert Q-Kiting. W-Slow beim Wegdrehen beachten.</x:v>
      </x:c>
      <x:c r="K46" s="3" t="str">
        <x:v>Seine R ziehen, dann mit Q/Abstand überleben. Eigene R allein gewinnt diese Phase nicht; falls Kontakt abreißt, endet auch deine Verlängerung.</x:v>
      </x:c>
      <x:c r="L46" s="3" t="str">
        <x:v>Fury/Crit, Q-Heilung, W-AD-Reduktion/Slow, E-Reset-Mobilität, R-Unsterblichkeit.</x:v>
      </x:c>
      <x:c r="M46" s="3" t="str">
        <x:v>R fehlt, E verbraucht und wenig Fury. Nach Q-Heilung gutes kurzes Tradefenster, aber HP-Unterschied weiterhin prüfen.</x:v>
      </x:c>
      <x:c r="N46" s="3" t="str">
        <x:v>Bis zum Tod in seine aktive R autoattacken; ohne Rückweg all-in; frühe Crit-Zufälle als garantierten Level-1-Sieg planen.</x:v>
      </x:c>
      <x:c r="O46" s="3" t="str">
        <x:v>Wave auf eigener Seite ausdünnen. Mit Rückstand keinen großen Dive-Stack zulassen. Nach gezogenem R crashen/resetten, statt ohne Ressourcen weiterzustehen.</x:v>
      </x:c>
      <x:c r="P46" s="3" t="str">
        <x:v>Q–Auto–E, W für seine erste echte Schadensphase. R erzwingen, Q zum Kiten und Flash/Ghost für Abstand bewahren; nach R-Ende nur bei sicherem Zugriff töten.</x:v>
      </x:c>
      <x:c r="Q46" s="3" t="str">
        <x:v>Stridebreaker für Abstand und Wiedereinstieg, danach Death’s Dance. Ravenous Hydra, wenn Wave-Sustain und Halten statt Solokill dein Auftrag ist.</x:v>
      </x:c>
      <x:c r="R46" s="3" t="str">
        <x:v>Randuin’s gegen Crit-Druck; frühe Armor ist oft wertvoller als mehr DPS. Executioner’s gegen relevante Lifesteal-Itemisierung, nicht als Antwort auf seine R.</x:v>
      </x:c>
      <x:c r="S46" s="3" t="str">
        <x:v>1 Item: R-Management zwingend. 2 Items: Armor/Kiting verbessert Überleben. 3 Items: Tryndamere bleibt eine große Side-Gefahr; sichere Waves und Teamantworten vorbereiten.</x:v>
      </x:c>
      <x:c r="T46" s="3" t="str">
        <x:v>Bekämpfe zuerst seine Fury und ziehe dann R. Plane vor dem Einstieg, wie du seine Unsterblichkeit überlebst. Ein erzwungenes R mit anschließendem Reset ist bereits ein brauchbarer Gewinn.</x:v>
      </x:c>
      <x:c r="U46" s="3" t="str">
        <x:v>PTA nur bei Team-Pick-Plan und abgesicherter Side; Conqueror ist die Lane-Voreinstellung, keine Garantie für den Statcheck.</x:v>
      </x:c>
      <x:c r="V46"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6" s="3" t="str">
        <x:v>26.18</x:v>
      </x:c>
      <x:c r="X46" s="3" t="str">
        <x:v>10.09.2026</x:v>
      </x:c>
      <x:c r="Y46" s="3" t="str">
        <x:v>D</x:v>
      </x:c>
      <x:c r="Z46" s="3" t="str">
        <x:v>E</x:v>
      </x:c>
      <x:c r="AA46" s="3" t="str">
        <x:v>F</x:v>
      </x:c>
      <x:c r="AB46" s="3" t="str">
        <x:v>Tier F → E. Lane D, späte Side E: Olaf kann vor 6 über Fury und Äxte Druck erzeugen. Danach erzwingt Tryndameres R eine Überlebensphase, die Olaf nicht mit eigener CC-Immunität auflöst. Sehr schwierig, aber mit Armor, Q-Kiting und Fury-Denial kein pauschales F.</x:v>
      </x:c>
    </x:row>
    <x:row r="47" ht="145" customHeight="1">
      <x:c r="A47" s="3" t="str">
        <x:v>Urgot</x:v>
      </x:c>
      <x:c r="B47" s="3" t="str">
        <x:v>A</x:v>
      </x:c>
      <x:c r="C47" s="3" t="str">
        <x:v>Olaf-R ist eine starke Antwort auf Urgots Kontrolle und Execute-Zugriff. Nach E-Miss und auf verbrauchter Beinseite kann Olaf lange kämpfen. Urgots Level- und W-Spikes bleiben gefährlich, wenn R ausläuft.</x:v>
      </x:c>
      <x:c r="D47" s="3" t="str">
        <x:v>Conqueror</x:v>
      </x:c>
      <x:c r="E47" s="3" t="str">
        <x:v>W-DPS, Schild und HP führen zu langen Melee-Fights. Conqueror unterstützt mehrere E-Zyklen gegen einen Gegner, den drei Autos selten töten.</x:v>
      </x:c>
      <x:c r="F47" s="3" t="str">
        <x:v>Doran’s Blade + Health Potion</x:v>
      </x:c>
      <x:c r="G47" s="3" t="str">
        <x:v>Flash + Ghost</x:v>
      </x:c>
      <x:c r="H47" s="3" t="str">
        <x:v>Plated Steelcaps früh gegen W/Autos und physischen Druck.</x:v>
      </x:c>
      <x:c r="I47" s="3" t="str">
        <x:v>Urgots E plus geladene Beine ist gefährlich. Olaf erst nach verfehltem E/langem Q-Kontakt; keinen garantierten Level-1-Sieg annehmen.</x:v>
      </x:c>
      <x:c r="J47" s="3" t="str">
        <x:v>E seitlich ausweichen und auf bereits abgefeuerter Beinseite bleiben. Nicht durch Umkreisen alle Shotguns freischalten.</x:v>
      </x:c>
      <x:c r="K47" s="3" t="str">
        <x:v>R rechtzeitig gegen E/R-Suppress einsetzen und durch Autos/E aktiv halten, solange die Execute-Drohung besteht. Nicht voraussetzen, dass ein früher kurzer R-Druck jeden späteren R-Recast löscht.</x:v>
      </x:c>
      <x:c r="L47" s="3" t="str">
        <x:v>E-Dash/Schild, Shotgun-Beine, W-Fokus, R-Markierung/Execute.</x:v>
      </x:c>
      <x:c r="M47" s="3" t="str">
        <x:v>E verfehlt, nahe Beine abgefeuert. R fehlt; vor W-Max sind dessen Off-Phasen zusätzliche Fenster.</x:v>
      </x:c>
      <x:c r="N47" s="3" t="str">
        <x:v>Alle Beine ablaufen; mit auslaufender R unter Execute-Schwelle stehen; E-Dash frontal tanken, nur um eine Axt aufzuheben.</x:v>
      </x:c>
      <x:c r="O47" s="3" t="str">
        <x:v>Eigene Seite mit seitlichem Platz. Nach E-Verfehlung Slowpush; unter seinem Turm keinen Flip-Winkel anbieten.</x:v>
      </x:c>
      <x:c r="P47" s="3" t="str">
        <x:v>Q treffen, E seitlich dodgen, auf verbrauchter Beinseite Auto–W–Auto–E. R beim drohenden Kontroll-/Execute-Zugriff und mit Kontakt verlängern.</x:v>
      </x:c>
      <x:c r="Q47" s="3" t="str">
        <x:v>Ravenous Hydra für Side-Sustain, danach Death’s Dance. Black Cleaver gegen frühes Armor als Alternative für längere Duelle.</x:v>
      </x:c>
      <x:c r="R47" s="3" t="str">
        <x:v>Sterak’s für Burstpuffer; BotRK gegen hohen HP-Anteil bei sicherem Überleben. Zusätzliche Armor bei gegnerischem AD-Team.</x:v>
      </x:c>
      <x:c r="S47" s="3" t="str">
        <x:v>1 Item: E-Dodge entscheidet. 2 Items: Urgots W-/Bein-Spikes respektieren; R bleibt dein Werkzeug. 3 Items: Olaf kann Side spielen, aber ein abgelaufenes R kann das Duell sofort drehen.</x:v>
      </x:c>
      <x:c r="T47" s="3" t="str">
        <x:v>Bleib auf einer bereits abgefeuerten Beinseite und weiche E aus. Spare R für die Kontrolle beziehungsweise Execute-Drohung. Halte es dann durch echten Kontakt aktiv.</x:v>
      </x:c>
      <x:c r="U47" s="3" t="str">
        <x:v>PTA für kurze Carry-Catches möglich; Conqueror besser, wenn Urgot dein permanenter Side-Gegner bleibt.</x:v>
      </x:c>
      <x:c r="V47"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7" s="3" t="str">
        <x:v>26.18</x:v>
      </x:c>
      <x:c r="X47" s="3" t="str">
        <x:v>10.09.2026</x:v>
      </x:c>
      <x:c r="Y47" s="3" t="str">
        <x:v>B</x:v>
      </x:c>
      <x:c r="Z47" s="3" t="str">
        <x:v>B</x:v>
      </x:c>
      <x:c r="AA47" s="3" t="str">
        <x:v>A</x:v>
      </x:c>
      <x:c r="AB47" s="3" t="str">
        <x:v>Tier beibehalten. Lane B, späte Side B: Olaf-R ist eine starke Antwort auf Urgots Kontrolle und Execute-Zugriff. Nach E-Miss und auf verbrauchter Beinseite kann Olaf lange kämpfen. Urgots Level- und W-Spikes bleiben gefährlich, wenn R ausläuft.</x:v>
      </x:c>
    </x:row>
    <x:row r="48" ht="145" customHeight="1">
      <x:c r="A48" s="3" t="str">
        <x:v>Vayne</x:v>
      </x:c>
      <x:c r="B48" s="3" t="str">
        <x:v>D</x:v>
      </x:c>
      <x:c r="C48" s="3" t="str">
        <x:v>Olaf kann über Q, Wave-Druck und R gegen Condemn frühe Vorteile erzielen. R/Q-Stealth und späterer On-hit-Schaden machen die offene Side schwieriger. Das späte Problem allein rechtfertigt kein F für die gesamte Partie.</x:v>
      </x:c>
      <x:c r="D48" s="3" t="str">
        <x:v>Conqueror</x:v>
      </x:c>
      <x:c r="E48" s="3" t="str">
        <x:v>Trotz fragiler Vayne ist PTA wegen R/Q-Unterbrechungen nicht zuverlässig. Conqueror kann über Q/E und erneuten Kontakt arbeiten, ist ohne Zugriff ebenfalls kein Rettungsanker.</x:v>
      </x:c>
      <x:c r="F48" s="3" t="str">
        <x:v>Doran’s Shield + Health Potion</x:v>
      </x:c>
      <x:c r="G48" s="3" t="str">
        <x:v>Flash + Ghost</x:v>
      </x:c>
      <x:c r="H48" s="3" t="str">
        <x:v>Plated Steelcaps früh, zusätzliche Bewegung zum Zugang.</x:v>
      </x:c>
      <x:c r="I48" s="3" t="str">
        <x:v>Vayne hat Reichweitenkontrolle; Olaf nur bei Q-Treffer und langem Rückweg. Ohne günstige Lage HP bewahren, nicht drei Autos erzwingen.</x:v>
      </x:c>
      <x:c r="J48" s="3" t="str">
        <x:v>Nach offensivem Q und verbrauchtem E anlaufen. Silver-Bolts-Procs nicht gratis durch CS-Gier erlauben. Gank mit langer Lane vorbereiten.</x:v>
      </x:c>
      <x:c r="K48" s="3" t="str">
        <x:v>R/Q macht Auto-Uptime noch schlechter. Olaf-R vor Condemn hilft gegen Knockback, Unsichtbarkeit bleibt. Nicht R allein in einen frischen Stealth-Zyklus investieren.</x:v>
      </x:c>
      <x:c r="L48" s="3" t="str">
        <x:v>Q-Tumble, E-Condemn, W-True-Damage, R/Q-Stealth.</x:v>
      </x:c>
      <x:c r="M48" s="3" t="str">
        <x:v>E fehlt, Q offensiv benutzt und R nicht verfügbar; abgeschnittener Fluchtweg oder verlässliche Teamhilfe.</x:v>
      </x:c>
      <x:c r="N48" s="3" t="str">
        <x:v>Sweeper als True Sight behandeln; Armor als Lösung gegen W ansehen; R ohne Kontaktplan zünden; Wandstun vor 6 anbieten.</x:v>
      </x:c>
      <x:c r="O48" s="3" t="str">
        <x:v>Wave auf eigener Seite und möglichst dünn. Gegen großen Stack Hilfe/Reset priorisieren. Nach einem Kill vollständig crashen, bevor sie zurückkitet.</x:v>
      </x:c>
      <x:c r="P48" s="3" t="str">
        <x:v>Q aus Winkel treffen, nach Q/E-Verbrauch anlaufen. R gegen Condemn, Auto–E und W für sichtbares Auto-Fenster; Stealth-Endpunkt vorausplanen statt blind weiterzuklicken.</x:v>
      </x:c>
      <x:c r="Q48" s="3" t="str">
        <x:v>Stridebreaker für Anschluss, danach Death’s Dance gegen physischen Anteil/AD-Comp oder Sterak’s gegen gemischten Burst. Beides löst W-True-Damage nicht.</x:v>
      </x:c>
      <x:c r="R48" s="3" t="str">
        <x:v>Randuin’s gegen tatsächlichen Crit-Build/weitere Crit-Ziele, nicht blind gegen On-hit-Vayne. Kein gläserner Kritlaf aus Rückstand; Team-CC und Flanken haben höheren Wert.</x:v>
      </x:c>
      <x:c r="S48" s="3" t="str">
        <x:v>1 Item: Olaf kann nach Q/E-Verbrauch mit Stride und R echte Catches erzwingen. 2 Items: mehr On-hit-DPS und R/Q-Unterbrechungen machen Zugriff schwieriger. 3 Items: auf offener Lane eher Vayne; Wave, Sicht, Vorsprung und Hilfe können den Plan ändern. 26.18 verlängert Rageblade-Stacks, falls sie dieses Item kauft.</x:v>
      </x:c>
      <x:c r="T48" s="3" t="str">
        <x:v>Bewahre HP und halte den Rückweg lang. Greife bevorzugt nach E und ohne ihre R an. Später sind Flanken und Hilfe verlässlicher als der Versuch, sie im offenen Feld zu statchecken.</x:v>
      </x:c>
      <x:c r="U48" s="3" t="str">
        <x:v>PTA, wenn Vayne in der Praxis kaum dein Ziel ist und drei sichere Autos auf die übrigen Carries regelmäßig möglich sind.</x:v>
      </x:c>
      <x:c r="V48"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8" s="3" t="str">
        <x:v>26.18</x:v>
      </x:c>
      <x:c r="X48" s="3" t="str">
        <x:v>10.09.2026</x:v>
      </x:c>
      <x:c r="Y48" s="3" t="str">
        <x:v>C</x:v>
      </x:c>
      <x:c r="Z48" s="3" t="str">
        <x:v>E</x:v>
      </x:c>
      <x:c r="AA48" s="3" t="str">
        <x:v>F</x:v>
      </x:c>
      <x:c r="AB48" s="3" t="str">
        <x:v>Tier F → D. Lane C, späte Side E: Olaf kann über Q, Wave-Druck und R gegen Condemn frühe Vorteile erzielen. R/Q-Stealth und späterer On-hit-Schaden machen die offene Side schwieriger. Das späte Problem allein rechtfertigt kein F für die gesamte Partie.</x:v>
      </x:c>
    </x:row>
    <x:row r="49" ht="145" customHeight="1">
      <x:c r="A49" s="3" t="str">
        <x:v>Vladimir</x:v>
      </x:c>
      <x:c r="B49" s="3" t="str">
        <x:v>B</x:v>
      </x:c>
      <x:c r="C49" s="3" t="str">
        <x:v>Nach Pool hat Olaf auf langer Lane ein klares Verfolgungsfenster. Vladimir kann R und Burst später stärker nutzen, aber sein frühes Sustain verhindert nicht jeden Druck. Pool vor der eigenen R herauszuziehen bleibt zentral.</x:v>
      </x:c>
      <x:c r="D49" s="3" t="str">
        <x:v>PTA</x:v>
      </x:c>
      <x:c r="E49" s="3" t="str">
        <x:v>Nach Pool-Ende ist das Killfenster kompakt und drei Autos plausibel. PTA vor frischem Pool zu erzwingen ist dagegen unzuverlässig.</x:v>
      </x:c>
      <x:c r="F49" s="3" t="str">
        <x:v>Doran’s Shield + Health Potion</x:v>
      </x:c>
      <x:c r="G49" s="3" t="str">
        <x:v>Flash + Ghost</x:v>
      </x:c>
      <x:c r="H49" s="3" t="str">
        <x:v>Frühe Boots; Mercury’s bei AP-lastigem Gegnerteam.</x:v>
      </x:c>
      <x:c r="I49" s="3" t="str">
        <x:v>Olaf bei Q-Chase, Vlad im sicheren Q-Poke. Empowered Q anzeigen lassen und kurz aus dessen Reichweite gehen.</x:v>
      </x:c>
      <x:c r="J49" s="3" t="str">
        <x:v>Pool herauslocken, dann mit langer Lane erneut angreifen. Nicht in empowered Q traden; E-Ladung und Minionblockierung beachten.</x:v>
      </x:c>
      <x:c r="K49" s="3" t="str">
        <x:v>Olaf-R verhindert Pool nicht und entfernt Vlad-R-Schaden nicht. Pool kann deine R auslaufen lassen; R möglichst erst für den zweiten Kontakt investieren.</x:v>
      </x:c>
      <x:c r="L49" s="3" t="str">
        <x:v>Empowered Q, W-Pool, aufgeladenes E, R-Verzögerung/Burst.</x:v>
      </x:c>
      <x:c r="M49" s="3" t="str">
        <x:v>W verbraucht und empowered Q vorbei. R fehlt nach einem abgebrochenen All-in.</x:v>
      </x:c>
      <x:c r="N49" s="3" t="str">
        <x:v>Frische R in Pool laufen lassen; Vlad-R-Nachschaden auf wenig HP vergessen; jeden roten Q mit eigenem Gesicht beantworten.</x:v>
      </x:c>
      <x:c r="O49" s="3" t="str">
        <x:v>Eigene Seite für langen Chase; nach Pool-Verbrauch Slowpush/Crash. Freeze nur, solange du ihn tatsächlich von CS wegdrängen kannst.</x:v>
      </x:c>
      <x:c r="P49" s="3" t="str">
        <x:v>Q treffen, kurze Autos/E zum Pool-Zwang. Pool-Ende abwarten, dann Ghost und Auto–W–Auto–Auto; W vor dem erwarteten Burst, nicht erst nach dem letzten Treffer.</x:v>
      </x:c>
      <x:c r="Q49" s="3" t="str">
        <x:v>Stridebreaker für Kontakt, danach Maw. Ravenous Hydra statt Stride, wenn du gegen Poke nicht gesund ins Fenster kommst.</x:v>
      </x:c>
      <x:c r="R49" s="3" t="str">
        <x:v>Executioner’s bei knappem All-in mit mehreren Heilzyklen. Fiendhunter Bolts nur bei Vorsprung und verlässlich verbrauchtem Pool; Spirit Visage bei AP/Teamheilung.</x:v>
      </x:c>
      <x:c r="S49" s="3" t="str">
        <x:v>1 Item: gute Jagdfenster nach Pool. 2 Items: Vlad-Burst steigt, Maw hilft. 3 Items: Vlad wird im Teamfight sehr gefährlich; früh Druck in Türme/Objekte umsetzen.</x:v>
      </x:c>
      <x:c r="T49" s="3" t="str">
        <x:v>Spiele um Pool und den roten Q. Erzwinge erst Pool, dann nutze das zweite Fenster mit vollem Auto-Kontakt. Plane seinen verzögerten R-Schaden in deine verbleibenden HP ein.</x:v>
      </x:c>
      <x:c r="U49" s="3" t="str">
        <x:v>Conqueror bei defensivem Vlad-Build oder mehreren langlebigen Melees; Pool-Unterbrechung kann auch in der Lane Conqueror rechtfertigen.</x:v>
      </x:c>
      <x:c r="V49"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49" s="3" t="str">
        <x:v>26.18</x:v>
      </x:c>
      <x:c r="X49" s="3" t="str">
        <x:v>10.09.2026</x:v>
      </x:c>
      <x:c r="Y49" s="3" t="str">
        <x:v>B</x:v>
      </x:c>
      <x:c r="Z49" s="3" t="str">
        <x:v>C</x:v>
      </x:c>
      <x:c r="AA49" s="3" t="str">
        <x:v>B</x:v>
      </x:c>
      <x:c r="AB49" s="3" t="str">
        <x:v>Tier beibehalten. Lane B, späte Side C: Nach Pool hat Olaf auf langer Lane ein klares Verfolgungsfenster. Vladimir kann R und Burst später stärker nutzen, aber sein frühes Sustain verhindert nicht jeden Druck. Pool vor der eigenen R herauszuziehen bleibt zentral.</x:v>
      </x:c>
    </x:row>
    <x:row r="50" ht="145" customHeight="1">
      <x:c r="A50" s="3" t="str">
        <x:v>Volibear</x:v>
      </x:c>
      <x:c r="B50" s="3" t="str">
        <x:v>B</x:v>
      </x:c>
      <x:c r="C50" s="3" t="str">
        <x:v>Vor 6 sind E-Schild und markiertes W starke Trade-Werkzeuge. Mit R und ausgewichenem E kann Olaf einen erreichbaren Gegner dauerhaft treffen und selbst lange Kämpfe gewinnen. W2 ist ein abzuwägendes Risiko, kein automatischer Rückzugsbefehl.</x:v>
      </x:c>
      <x:c r="D50" s="3" t="str">
        <x:v>Conqueror</x:v>
      </x:c>
      <x:c r="E50" s="3" t="str">
        <x:v>Schild, Heilung und wiederholte Nahkampfzyklen verlangen langen Schaden. Conqueror passt, sobald du ein günstiges W/E-Fenster geschaffen hast.</x:v>
      </x:c>
      <x:c r="F50" s="3" t="str">
        <x:v>Doran’s Blade + Health Potion</x:v>
      </x:c>
      <x:c r="G50" s="3" t="str">
        <x:v>Flash + Ghost</x:v>
      </x:c>
      <x:c r="H50" s="3" t="str">
        <x:v>Plated Steelcaps gegen Auto-lastige Variante; Mercury’s bei AP-lastiger Gesamtcomp.</x:v>
      </x:c>
      <x:c r="I50" s="3" t="str">
        <x:v>Olaf mit Q-Abstand stark. Volis passive Stacks und E-Landung können den Nahkampf drehen; gelernten Spell beobachten.</x:v>
      </x:c>
      <x:c r="J50" s="3" t="str">
        <x:v>E-Kreis verlassen. In kurzen Trades W-Markierung auslaufen lassen, wenn Voli den Folgefight gewinnen würde. Bei eigenem HP-/Wave-Vorteil und fehlendem E darf Olaf verlängern; nicht jeden ersten W-Treffer automatisch mit Rückzug beantworten.</x:v>
      </x:c>
      <x:c r="K50" s="3" t="str">
        <x:v>R übergeht Q-Stun. E verursacht Schaden und gibt Voli einen Schild; W auf markiertem Ziel heilt ihn. Mit gutem HP-Stand und ohne E-Treffer kann Olaf trotzdem durchkämpfen. Voli-R gibt HP und schaltet beim Dive den Turm zeitweise aus.</x:v>
      </x:c>
      <x:c r="L50" s="3" t="str">
        <x:v>W-Markierung/Recast-Heal, E-Kreis/Schild, passive Stacks, Q, R-Turmdisabling.</x:v>
      </x:c>
      <x:c r="M50" s="3" t="str">
        <x:v>E verfehlt und Schild weg; W-Markierung abgelaufen. R fehlt für Dive/HP-Flip.</x:v>
      </x:c>
      <x:c r="N50" s="3" t="str">
        <x:v>E-Treffer plus Schild gratis schenken. Einen bereits gewonnenen All-in allein wegen W2 abbrechen oder einen verlorenen nur wegen eigener R fortsetzen. Den Turm gegen seine R als sicheren Schutz ansehen.</x:v>
      </x:c>
      <x:c r="O50" s="3" t="str">
        <x:v>Eigene Seite, aber großen Dive-Stack vermeiden. Nach verfehltem E Wave ausdünnen/crashen; HP-Reset vor drohendem R-Dive.</x:v>
      </x:c>
      <x:c r="P50" s="3" t="str">
        <x:v>Q treffen und Volis E seitlich verlassen. Bei gutem HP-Stand Auto–E, W als Reset/Schild im echten Kontakt, R gegen Q-Stun und mit kurzen Äxten dranbleiben. Nur lösen, wenn W2-Heilung, E-Schild oder Wave den langen Kampf zu Voli drehen.</x:v>
      </x:c>
      <x:c r="Q50" s="3" t="str">
        <x:v>Ravenous Hydra für wiederholte Trades, zweites Death’s Dance gegen AD oder Maw gegen AP-Variante. Stridebreaker erleichtert Lösen und Re-engage.</x:v>
      </x:c>
      <x:c r="R50" s="3" t="str">
        <x:v>Executioner’s, wenn W-/Itemheilung das Duell entscheidet. Armor/MR nach tatsächlichem Build; gegen AP-On-hit nicht nur Armor stapeln.</x:v>
      </x:c>
      <x:c r="S50" s="3" t="str">
        <x:v>1 Item: E-Treffer, HP und erster Core entscheiden. 2 Items: Olaf kann mit passender Defensive und Auto-Uptime gute Duelle haben. 3 Items: gegen Tank/Bruiser weiter angreifbar; AP-/On-hit-Voli separat beurteilen, kein garantierter Olaf-Outscale.</x:v>
      </x:c>
      <x:c r="T50" s="3" t="str">
        <x:v>Weiche zuerst E aus und halte HP für den All-in. Ab 6 kannst du mit R und W lange durchkämpfen, wenn du gesund ankommst. Brich wegen W2 nur ab, wenn sein Heal das tatsächliche Kräfteverhältnis kippt.</x:v>
      </x:c>
      <x:c r="U50" s="3" t="str">
        <x:v>PTA bei kurzen Team-Catches und wenn Voli nicht durch mehrere Heilzyklen besiegt werden muss.</x:v>
      </x:c>
      <x:c r="V50"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50" s="3" t="str">
        <x:v>26.18</x:v>
      </x:c>
      <x:c r="X50" s="3" t="str">
        <x:v>10.09.2026</x:v>
      </x:c>
      <x:c r="Y50" s="3" t="str">
        <x:v>C</x:v>
      </x:c>
      <x:c r="Z50" s="3" t="str">
        <x:v>B</x:v>
      </x:c>
      <x:c r="AA50" s="3" t="str">
        <x:v>C</x:v>
      </x:c>
      <x:c r="AB50" s="3" t="str">
        <x:v>Tier C → B. Lane C, späte Side B: Vor 6 sind E-Schild und markiertes W starke Trade-Werkzeuge. Mit R und ausgewichenem E kann Olaf einen erreichbaren Gegner dauerhaft treffen und selbst lange Kämpfe gewinnen. W2 ist ein abzuwägendes Risiko, kein automatischer Rückzugsbefehl.</x:v>
      </x:c>
    </x:row>
    <x:row r="51" ht="145" customHeight="1">
      <x:c r="A51" s="3" t="str">
        <x:v>Warwick</x:v>
      </x:c>
      <x:c r="B51" s="3" t="str">
        <x:v>C</x:v>
      </x:c>
      <x:c r="C51" s="3" t="str">
        <x:v>Warwicks Low-HP-Heilung macht frühe rohe Statchecks riskant. Nach E-Ende und mit R gegen Fear/Suppress besitzt Olaf einen guten längeren Kampfplan. Die frühe Gefahr wurde vorher zu stark auf das Gesamtspiel übertragen.</x:v>
      </x:c>
      <x:c r="D51" s="3" t="str">
        <x:v>Conqueror</x:v>
      </x:c>
      <x:c r="E51" s="3" t="str">
        <x:v>Mehrere Heilzyklen und E-Defensive machen das Duell lang. PTA-Burst in aktive E ist selten ein sauberer Killplan.</x:v>
      </x:c>
      <x:c r="F51" s="3" t="str">
        <x:v>Doran’s Blade + Health Potion</x:v>
      </x:c>
      <x:c r="G51" s="3" t="str">
        <x:v>Ghost + Ignite</x:v>
      </x:c>
      <x:c r="H51" s="3" t="str">
        <x:v>Plated Steelcaps gegen Autos; Magieschaden seiner Heilautos/Q bleibt.</x:v>
      </x:c>
      <x:c r="I51" s="3" t="str">
        <x:v>Keinen blinden Statcheck: Warwick wird bei niedrigen HP gefährlicher. Q-Poke und Waveposition statt All-in bei voller beidseitiger HP.</x:v>
      </x:c>
      <x:c r="J51" s="3" t="str">
        <x:v>E herauslocken und Schadensreduktion auslaufen lassen. Gehaltenes Q kann Bewegungen folgen. Nicht seinen Low-HP-Zustand mit sicherem Kill verwechseln.</x:v>
      </x:c>
      <x:c r="K51" s="3" t="str">
        <x:v>R ist eine Antwort auf Fear und Suppress. Nach Ende seiner E-Reduktion kann Olaf mit W und dauerhaftem Kontakt gewinnen. Heilung, Barrier und HP vorher prüfen; Antiheal hilft, ist aber kein Ersatz für ein tatsächlich gewinnbares Schadensfenster.</x:v>
      </x:c>
      <x:c r="L51" s="3" t="str">
        <x:v>Passive Low-HP-Heilung, Q-Heal/Folgebewegung, E-Schadensreduktion/Fear, R.</x:v>
      </x:c>
      <x:c r="M51" s="3" t="str">
        <x:v>E beendet, Q verbraucht, Ignite bereit und genug HP für seine Heilphase. Fehlende R senkt Burst/Fluchtoptionen.</x:v>
      </x:c>
      <x:c r="N51" s="3" t="str">
        <x:v>In E hineinbursten; auf minimalen HP ohne Antiheal statchecken; Ghost+Ignite ohne Flash wie einen sicheren Escape-Build spielen.</x:v>
      </x:c>
      <x:c r="O51" s="3" t="str">
        <x:v>Eigene Seite mit sicherem Rückweg. Ohne TP vor Questabschluss Resets früh planen. Nach gezogenem E kurzer Druck, keinen großen gegnerischen Stack tanken.</x:v>
      </x:c>
      <x:c r="P51" s="3" t="str">
        <x:v>Q-Poke, E ziehen und Abstand. Danach Q–Auto–W–Auto–E; Ignite vor der entscheidenden Low-HP-Heilphase, R für Fear/Suppress im Commit.</x:v>
      </x:c>
      <x:c r="Q51" s="3" t="str">
        <x:v>Ravenous Hydra für Sustain ohne erzwungenes All-in, danach Death’s Dance bei AD-Comp; Maw bei zusätzlichem AP-Druck. Stridebreaker bei Bedarf zu lösen.</x:v>
      </x:c>
      <x:c r="R51" s="3" t="str">
        <x:v>Executioner’s, wenn Ignite nicht oft genug verfügbar ist; kein doppelter Grievous-Wounds-Kauf ohne Mehrwert. Defensive vor Kritlaf.</x:v>
      </x:c>
      <x:c r="S51" s="3" t="str">
        <x:v>1 Item: Low-HP-Heilung, Barrier und E entscheiden den Einstieg. 2 Items: mit R und geeigneter Defensive sind lange Kämpfe für Olaf gut spielbar. 3 Items: tatsächliche On-hit-/Tank-Items prüfen; frühe Warwick-Stärke bedeutet keinen garantierten späten Warwick-Sieg.</x:v>
      </x:c>
      <x:c r="T51" s="3" t="str">
        <x:v>Vermeide frühe rohe Low-HP-Statchecks in Warwick-E. Ziehe E, warte die Reduktion ab und nutze R gegen seine Kontrolle. Dann darfst du den langen Kampf suchen, wenn Heal, Barrier und dein eigener W-Zyklus einkalkuliert sind.</x:v>
      </x:c>
      <x:c r="U51" s="3" t="str">
        <x:v>Flash + Ghost statt Ghost + Ignite bei Terrain-/Gank-Gefahr der Gesamtcomp; dann Antiheal über Item/Team absichern. PTA nur für klaren Team-Pick-Plan.</x:v>
      </x:c>
      <x:c r="V51"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51" s="3" t="str">
        <x:v>26.18</x:v>
      </x:c>
      <x:c r="X51" s="3" t="str">
        <x:v>10.09.2026</x:v>
      </x:c>
      <x:c r="Y51" s="3" t="str">
        <x:v>D</x:v>
      </x:c>
      <x:c r="Z51" s="3" t="str">
        <x:v>B</x:v>
      </x:c>
      <x:c r="AA51" s="3" t="str">
        <x:v>E</x:v>
      </x:c>
      <x:c r="AB51" s="3" t="str">
        <x:v>Tier E → C. Lane D, späte Side B: Warwicks Low-HP-Heilung macht frühe rohe Statchecks riskant. Nach E-Ende und mit R gegen Fear/Suppress besitzt Olaf einen guten längeren Kampfplan. Die frühe Gefahr wurde vorher zu stark auf das Gesamtspiel übertragen.</x:v>
      </x:c>
    </x:row>
    <x:row r="52" ht="145" customHeight="1">
      <x:c r="A52" s="3" t="str">
        <x:v>Wukong</x:v>
      </x:c>
      <x:c r="B52" s="3" t="str">
        <x:v>B</x:v>
      </x:c>
      <x:c r="C52" s="3" t="str">
        <x:v>Clone kann Kontakt unterbrechen, aber nach dessen Verbrauch kann Olaf mit R beide Knock-up-Phasen übergehen. Wukongs Team-Engage bleibt wertvoll. Kein automatischer Kill, wenn Wukong über Terrain entkommt.</x:v>
      </x:c>
      <x:c r="D52" s="3" t="str">
        <x:v>Conqueror</x:v>
      </x:c>
      <x:c r="E52" s="3" t="str">
        <x:v>Clone und mehrere R-Kontakte verlängern oder unterbrechen den Fight. Conqueror über echte Q/E-Treffer nutzen, nicht PTA auf dem falschen Ziel erzwingen.</x:v>
      </x:c>
      <x:c r="F52" s="3" t="str">
        <x:v>Doran’s Blade + Health Potion</x:v>
      </x:c>
      <x:c r="G52" s="3" t="str">
        <x:v>Flash + Ghost</x:v>
      </x:c>
      <x:c r="H52" s="3" t="str">
        <x:v>Plated Steelcaps gegen Auto-/Q-Druck.</x:v>
      </x:c>
      <x:c r="I52" s="3" t="str">
        <x:v>Olaf mit Q-Resets gut; Wukong-E plus Passive kann den Nahkampf drehen. Nicht ohne Rückweg durch volle Wave kämpfen.</x:v>
      </x:c>
      <x:c r="J52" s="3" t="str">
        <x:v>W herauslocken und echten Gegner über Bewegung/Spellgebrauch identifizieren. Nach Clone-Ende bei verbrauchtem E verfolgen.</x:v>
      </x:c>
      <x:c r="K52" s="3" t="str">
        <x:v>R verhindert Knock-up, nicht R-Schaden oder Clone-Ablenkung. Vorzeitig gestartetes Olaf-R kann während Stealth auslaufen.</x:v>
      </x:c>
      <x:c r="L52" s="3" t="str">
        <x:v>W-Clone/Stealth, passive Armor, Q-Armor-Shred, E-Zugang, R-Zyklen.</x:v>
      </x:c>
      <x:c r="M52" s="3" t="str">
        <x:v>W weg und E verbraucht. Beide R-Aktivierungen beendet erleichtern den zweiten Fight.</x:v>
      </x:c>
      <x:c r="N52" s="3" t="str">
        <x:v>W/Autos in Clone verschwenden; Sweeper als volle Zielbarkeit behandeln; seine zweite R-Aktivierung vergessen.</x:v>
      </x:c>
      <x:c r="O52" s="3" t="str">
        <x:v>Eigene Seite mit langer Lane. Nach W-Verbrauch Slowpush; vor Freeze große gegnerische Wave ausdünnen.</x:v>
      </x:c>
      <x:c r="P52" s="3" t="str">
        <x:v>Q–Auto–E zum W-Zwang. Clone nicht tunneln; echten Wukong nach W wieder Q treffen, Auto–W–Auto, R gegen Knock-up bei realem Kontakt.</x:v>
      </x:c>
      <x:c r="Q52" s="3" t="str">
        <x:v>Ravenous Hydra für Sustain, danach Death’s Dance. Black Cleaver, wenn Armor-Stapelung tatsächlich bremst.</x:v>
      </x:c>
      <x:c r="R52" s="3" t="str">
        <x:v>Sterak’s gegen Burst; Stridebreaker statt Hydra bei Kontaktproblem. Crit erst nach Clone-Verbrauch zuverlässig, kein Lane-Default.</x:v>
      </x:c>
      <x:c r="S52" s="3" t="str">
        <x:v>1 Item: Clone-Timing zentral. 2 Items: Armor/Shred bestimmen Duell. 3 Items: Side spielbar, Wukongs Teamfight kann trotz Lane-Nachteil stark bleiben.</x:v>
      </x:c>
      <x:c r="T52" s="3" t="str">
        <x:v>Ziehe Clone, bevor du deinen ganzen Fight investierst. Halte R für echten Kontakt mit Wukong. Seine zweite R und die passive Armor bleiben auch ohne Knock-ups relevant.</x:v>
      </x:c>
      <x:c r="U52" s="3" t="str">
        <x:v>PTA bei verlässlich kurzen Catches der restlichen Comp; gegen wiederholte Wukong-Duelle Conqueror.</x:v>
      </x:c>
      <x:c r="V52"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52" s="3" t="str">
        <x:v>26.18</x:v>
      </x:c>
      <x:c r="X52" s="3" t="str">
        <x:v>10.09.2026</x:v>
      </x:c>
      <x:c r="Y52" s="3" t="str">
        <x:v>C</x:v>
      </x:c>
      <x:c r="Z52" s="3" t="str">
        <x:v>B</x:v>
      </x:c>
      <x:c r="AA52" s="3" t="str">
        <x:v>B</x:v>
      </x:c>
      <x:c r="AB52" s="3" t="str">
        <x:v>Tier beibehalten. Lane C, späte Side B: Clone kann Kontakt unterbrechen, aber nach dessen Verbrauch kann Olaf mit R beide Knock-up-Phasen übergehen. Wukongs Team-Engage bleibt wertvoll. Kein automatischer Kill, wenn Wukong über Terrain entkommt.</x:v>
      </x:c>
    </x:row>
    <x:row r="53" ht="145" customHeight="1">
      <x:c r="A53" s="3" t="str">
        <x:v>Yasuo</x:v>
      </x:c>
      <x:c r="B53" s="3" t="str">
        <x:v>B</x:v>
      </x:c>
      <x:c r="C53" s="3" t="str">
        <x:v>Olaf bedroht lange Kontakte ohne viele Dash-Minions und kann Knock-up-Setup mit R verhindern. Windwall stoppt Q und sein Crit-Spike bleibt relevant. Die Lane ist günstiger als ein spätes Duell in voller Wave.</x:v>
      </x:c>
      <x:c r="D53" s="3" t="str">
        <x:v>Conqueror</x:v>
      </x:c>
      <x:c r="E53" s="3" t="str">
        <x:v>Schild, Dashes und Windwall verursachen mehrere Kontaktphasen. Q/E können Conqueror aufbauen; drei frühe Autos sind in voller Wave nicht garantiert.</x:v>
      </x:c>
      <x:c r="F53" s="3" t="str">
        <x:v>Doran’s Blade + Health Potion</x:v>
      </x:c>
      <x:c r="G53" s="3" t="str">
        <x:v>Flash + Ghost</x:v>
      </x:c>
      <x:c r="H53" s="3" t="str">
        <x:v>Plated Steelcaps früh gegen Auto-/Q-Druck.</x:v>
      </x:c>
      <x:c r="I53" s="3" t="str">
        <x:v>Olaf bei treffenden Qs/anhaltendem Kontakt. Yasuo kann mit Q-Abstand gewinnen; passive Schild vorher günstig brechen.</x:v>
      </x:c>
      <x:c r="J53" s="3" t="str">
        <x:v>Nicht in einer dichten eigenen Wave verfolgen, die viele E-Wege bietet. Nach Windwall-Verbrauch erneut Q nutzen; Tornado und E-Markierungen beachten.</x:v>
      </x:c>
      <x:c r="K53" s="3" t="str">
        <x:v>R verhindert Knock-up und damit sein eigenes R-Setup auf Olaf, solange aktiv. Nach R-Ende oder durch verbündeten Knock-up bleibt Yasuo gefährlich.</x:v>
      </x:c>
      <x:c r="L53" s="3" t="str">
        <x:v>E-Dashpfade, W-Windwall, Q3, passive Schild/Crit, R.</x:v>
      </x:c>
      <x:c r="M53" s="3" t="str">
        <x:v>Windwall fehlt und keine sicheren E-Ziele. Q3 verbraucht. R-CD hilft, aber kein Ersatz für gute Waveposition.</x:v>
      </x:c>
      <x:c r="N53" s="3" t="str">
        <x:v>Q in Windwall werfen; in eigener voller Wave im Kreis jagen; nach Olaf-R-Ende Tornado unterschätzen.</x:v>
      </x:c>
      <x:c r="O53" s="3" t="str">
        <x:v>Eigene Seite, Wave eher dünn halten. Nach Windwall-Verbrauch Crash vorbereiten. Keine Verfolgung durch viele frische Dash-Ziele.</x:v>
      </x:c>
      <x:c r="P53" s="3" t="str">
        <x:v>Schild mit Q brechen, Windwall abwarten/umlaufen. Bei wenig E-Zielen Auto–E–W–Auto; R für Knock-up im Commit und kurze Qs für Kontakt.</x:v>
      </x:c>
      <x:c r="Q53" s="3" t="str">
        <x:v>Stridebreaker gegen Dash-Spacer oder Ravenous Hydra für Sustain; danach Death’s Dance. Wahl davon abhängig, ob Kontakt oder HP fehlen.</x:v>
      </x:c>
      <x:c r="R53" s="3" t="str">
        <x:v>Randuin’s gegen mehrere Crit-Ziele; Executioner’s gegen viel Lifesteal. Fiendhunter Bolts nur bei Vorsprung und sicherem Kontakt.</x:v>
      </x:c>
      <x:c r="S53" s="3" t="str">
        <x:v>1 Item: Wave und Windwall entscheiden. 2 Items: sein Crit-Spike ist ernst, Armor hilft. 3 Items: kein freier Statcheck; E-Wege und Team-Knock-ups können die Lage drehen.</x:v>
      </x:c>
      <x:c r="T53" s="3" t="str">
        <x:v>Kämpfe bei dünner Wave und fehlender Windwall. Neutralisiere das Knock-up mit R, sobald du wirklich dran bist. Verschenke deine Äxte nicht in seine Wand.</x:v>
      </x:c>
      <x:c r="U53" s="3" t="str">
        <x:v>PTA, wenn die Comp kurze Catches ohne viele Dash-Ziele bietet; Lane-Conqueror für mehrere Kontaktphasen.</x:v>
      </x:c>
      <x:c r="V53"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53" s="3" t="str">
        <x:v>26.18</x:v>
      </x:c>
      <x:c r="X53" s="3" t="str">
        <x:v>10.09.2026</x:v>
      </x:c>
      <x:c r="Y53" s="3" t="str">
        <x:v>B</x:v>
      </x:c>
      <x:c r="Z53" s="3" t="str">
        <x:v>C</x:v>
      </x:c>
      <x:c r="AA53" s="3" t="str">
        <x:v>B</x:v>
      </x:c>
      <x:c r="AB53" s="3" t="str">
        <x:v>Tier beibehalten. Lane B, späte Side C: Olaf bedroht lange Kontakte ohne viele Dash-Minions und kann Knock-up-Setup mit R verhindern. Windwall stoppt Q und sein Crit-Spike bleibt relevant. Die Lane ist günstiger als ein spätes Duell in voller Wave.</x:v>
      </x:c>
    </x:row>
    <x:row r="54" ht="145" customHeight="1">
      <x:c r="A54" s="3" t="str">
        <x:v>Yone</x:v>
      </x:c>
      <x:c r="B54" s="3" t="str">
        <x:v>B</x:v>
      </x:c>
      <x:c r="C54" s="3" t="str">
        <x:v>Nach E-Rückkehr und verbrauchtem W kann Olaf lange Druck machen. R nimmt CC, nicht Yones verzögerten Schaden. Später entscheiden Build und Ausführung stärker als der frühe Lane-Vorteil.</x:v>
      </x:c>
      <x:c r="D54" s="3" t="str">
        <x:v>Conqueror</x:v>
      </x:c>
      <x:c r="E54" s="3" t="str">
        <x:v>W-Schild und E-Re-engages verlängern das Muster. Conqueror über Q/E aufbauen, aber kein sinnloser Chase nur zum Erhalten der Stacks.</x:v>
      </x:c>
      <x:c r="F54" s="3" t="str">
        <x:v>Doran’s Blade + Health Potion</x:v>
      </x:c>
      <x:c r="G54" s="3" t="str">
        <x:v>Flash + Ghost</x:v>
      </x:c>
      <x:c r="H54" s="3" t="str">
        <x:v>Plated Steelcaps gegen Auto-/Q-Anteil; gemischten Schaden mitdenken.</x:v>
      </x:c>
      <x:c r="I54" s="3" t="str">
        <x:v>Olaf bei Q-Resets stark. Yone-Q-Abstand respektieren und vor geladenem Q3 nicht geradlinig anlaufen.</x:v>
      </x:c>
      <x:c r="J54" s="3" t="str">
        <x:v>Nach E-Rückkehr Druck auf den Körperstandort. W-Verbrauch nutzen; seine E-Form nicht bis unter gegnerischen Turm verfolgen.</x:v>
      </x:c>
      <x:c r="K54" s="3" t="str">
        <x:v>R verhindert Knock-ups, nicht den Schaden von Yone-R oder E-Wiederholung. Seine R kann auch Fluchtweg sein; eigene R erst bei erreichbarem Anschluss.</x:v>
      </x:c>
      <x:c r="L54" s="3" t="str">
        <x:v>E-Rückkehr/Schadenswiederholung, W-Schild, Q3, R-Bewegung.</x:v>
      </x:c>
      <x:c r="M54" s="3" t="str">
        <x:v>E beendet, W verbraucht, Q3 fehlt. R verfehlt/als Flucht genutzt öffnet Folgefenster.</x:v>
      </x:c>
      <x:c r="N54" s="3" t="str">
        <x:v>E-Geist blind verfolgen; verzögerten E-Schaden auf wenig HP vergessen; R zünden, bevor er mit R weit weg ist.</x:v>
      </x:c>
      <x:c r="O54" s="3" t="str">
        <x:v>Eigene Seite mit dünner Wave. Nach E-Ende Slowpush oder Freeze-Druck; vor seinem Q3/R-Dive HP rechtzeitig resetten.</x:v>
      </x:c>
      <x:c r="P54" s="3" t="str">
        <x:v>Q–Auto–E zum W-Zwang; E-Rückkehr abwarten, dann Auto–W–Auto am realen Körper. R gegen CC im Commit, Q auf verbleibenden Fluchtweg.</x:v>
      </x:c>
      <x:c r="Q54" s="3" t="str">
        <x:v>Ravenous Hydra für wiederholte Trades oder Stridebreaker für Anschluss; danach Death’s Dance gegen AD-lastige Comp.</x:v>
      </x:c>
      <x:c r="R54" s="3" t="str">
        <x:v>Randuin’s gegen Crit-Druck; Sterak’s bei gemischtem Burst. Armor reduziert nicht alle Schadensanteile, daher keine reine Armor-Lösung behaupten.</x:v>
      </x:c>
      <x:c r="S54" s="3" t="str">
        <x:v>1 Item: gute lange Fights nach E. 2 Items: Crit-/Lifesteal-Spike respektieren. 3 Items: Side weiter skillabhängig; sein Zugang zur Backline kann im Teamspiel höher sein.</x:v>
      </x:c>
      <x:c r="T54" s="3" t="str">
        <x:v>Warte auf E-Rückkehr und kämpfe dann am echten Körper. Nutze R gegen die Kontrolle, nicht als Antwort auf allen Schaden. Plane die E-Schadenswiederholung in deine HP ein.</x:v>
      </x:c>
      <x:c r="U54" s="3" t="str">
        <x:v>PTA bei kurzen, sicheren Carry-Kontakten im Gesamtspiel; Conqueror bei mehreren Frontline-Fights.</x:v>
      </x:c>
      <x:c r="V54"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54" s="3" t="str">
        <x:v>26.18</x:v>
      </x:c>
      <x:c r="X54" s="3" t="str">
        <x:v>10.09.2026</x:v>
      </x:c>
      <x:c r="Y54" s="3" t="str">
        <x:v>B</x:v>
      </x:c>
      <x:c r="Z54" s="3" t="str">
        <x:v>C</x:v>
      </x:c>
      <x:c r="AA54" s="3" t="str">
        <x:v>B</x:v>
      </x:c>
      <x:c r="AB54" s="3" t="str">
        <x:v>Tier beibehalten. Lane B, späte Side C: Nach E-Rückkehr und verbrauchtem W kann Olaf lange Druck machen. R nimmt CC, nicht Yones verzögerten Schaden. Später entscheiden Build und Ausführung stärker als der frühe Lane-Vorteil.</x:v>
      </x:c>
    </x:row>
    <x:row r="55" ht="145" customHeight="1">
      <x:c r="A55" s="3" t="str">
        <x:v>Yorick</x:v>
      </x:c>
      <x:c r="B55" s="3" t="str">
        <x:v>D</x:v>
      </x:c>
      <x:c r="C55" s="3" t="str">
        <x:v>Olaf kann vor aufgebauten Pets Druck erzeugen. Käfig und Maiden erschweren später den direkten Zugriff, lassen aber gezieltes Pet-Management und frühe Wavekontrolle zu. Deshalb leichter statt pauschal deutlicher Gesamt-Nachteil.</x:v>
      </x:c>
      <x:c r="D55" s="3" t="str">
        <x:v>Conqueror</x:v>
      </x:c>
      <x:c r="E55" s="3" t="str">
        <x:v>Mehrere Ziele und lange HP-Phasen machen PTA auf Yorick allein unzuverlässig. Conqueror hilft im anschließenden Champion-Fight, ersetzt aber kein Pet-Management.</x:v>
      </x:c>
      <x:c r="F55" s="3" t="str">
        <x:v>Doran’s Blade + Health Potion</x:v>
      </x:c>
      <x:c r="G55" s="3" t="str">
        <x:v>Flash + Ghost</x:v>
      </x:c>
      <x:c r="H55" s="3" t="str">
        <x:v>Plated Steelcaps gegen physischen Druck; Basisbewegung für E-Dodge.</x:v>
      </x:c>
      <x:c r="I55" s="3" t="str">
        <x:v>Olaf stärker, solange noch keine vorbereiteten Gräber/Ghouls vorhanden sind. Q-Poke und Platz nehmen, ohne späteren Ghoul-Stack zu ignorieren.</x:v>
      </x:c>
      <x:c r="J55" s="3" t="str">
        <x:v>E unbedingt seitlich ausweichen. Ghouls mit Autos gezielt beseitigen; Q-AoE ist dafür nicht automatisch effizient. Käfig per Autos/Auto–W-Reset öffnen oder Flash für kritischen Ausgang.</x:v>
      </x:c>
      <x:c r="K55" s="3" t="str">
        <x:v>Maiden verändert das Duell stark. Erst Pets beziehungsweise sicher exponierte Maiden bearbeiten; R zerstört W-Terrain nicht. Kein blindes All-in in volle Beschwörungen.</x:v>
      </x:c>
      <x:c r="L55" s="3" t="str">
        <x:v>W-Käfig, E-Markierung/Ghoul-Sprung, Gräber/Ghouls, R-Maiden, Q-Heilung.</x:v>
      </x:c>
      <x:c r="M55" s="3" t="str">
        <x:v>E verfehlt, W fehlt und wenige Ghouls; Maiden tot/zu weit weg. Mehrere Voraussetzungen zusammen erzeugen das echte Killfenster.</x:v>
      </x:c>
      <x:c r="N55" s="3" t="str">
        <x:v>R als Käfig-Escape ansehen; Maiden ignorieren; alle Autos auf Yorick richten, während Ghouls dich herunterarbeiten.</x:v>
      </x:c>
      <x:c r="O55" s="3" t="str">
        <x:v>Früh kontrollierter Slowpush möglich. Später Wave/Pets ausdünnen und nicht unter großem Stack einschließen lassen. Crash vor Roam, sonst verliert die Side schnell Türme.</x:v>
      </x:c>
      <x:c r="P55" s="3" t="str">
        <x:v>E dodgen, Ghouls mit Autos abräumen, exponierte Maiden sicher bestrafen. Erst danach Q–Auto–W–Auto–E auf Yorick; Flash nicht für geringen Zusatzschaden verschwenden.</x:v>
      </x:c>
      <x:c r="Q55" s="3" t="str">
        <x:v>Ravenous Hydra für Wave-Sustain/Clear, danach Death’s Dance gegen AD-Druck. Hydra ersetzt die gezielten Autos auf Ghouls nicht.</x:v>
      </x:c>
      <x:c r="R55" s="3" t="str">
        <x:v>Black Cleaver gegen Armor; Sterak’s gegen gemischten Burst. Hullbreaker nur, wenn du tatsächlich Turmzeit erhältst, nicht während du dauerhaft Maiden abwehrst.</x:v>
      </x:c>
      <x:c r="S55" s="3" t="str">
        <x:v>1 Item: ohne Maiden gute Fenster. 2 Items: Pet- und Wavekontrolle wichtiger als reiner Buildwert. 3 Items: offene Side mit voller Maiden gefährlich; Hilfe zum Pet-Reset schafft Druck.</x:v>
      </x:c>
      <x:c r="T55" s="3" t="str">
        <x:v>Weiche E aus und entferne Ghouls, bevor du Yorick selbst bekämpfst. Halte Flash für einen kritischen Käfig. Ohne Maiden und W ist das Matchup deutlich besser spielbar.</x:v>
      </x:c>
      <x:c r="U55" s="3" t="str">
        <x:v>PTA, wenn Yorick nur gecleart wird und die restliche Comp kurze Catches erlaubt; in vollen Pet-Fights Conqueror.</x:v>
      </x:c>
      <x:c r="V55" s="3" t="str">
        <x:v>Eigene qualitative Einschätzung, keine getestete optimale Spielweise. Gesamt-Tier meist mit etwa einer Stufe Spielraum. Lane und Side sind getrennte Phasenurteile; Teamcomp, Gold, Level und Build können sie verschieben. Statistik nur Patch 26.17, Kit-Abgleich mit 26.18.</x:v>
      </x:c>
      <x:c r="W55" s="3" t="str">
        <x:v>26.18</x:v>
      </x:c>
      <x:c r="X55" s="3" t="str">
        <x:v>10.09.2026</x:v>
      </x:c>
      <x:c r="Y55" s="3" t="str">
        <x:v>B</x:v>
      </x:c>
      <x:c r="Z55" s="3" t="str">
        <x:v>D</x:v>
      </x:c>
      <x:c r="AA55" s="3" t="str">
        <x:v>E</x:v>
      </x:c>
      <x:c r="AB55" s="3" t="str">
        <x:v>Tier E → D. Lane B, späte Side D: Olaf kann vor aufgebauten Pets Druck erzeugen. Käfig und Maiden erschweren später den direkten Zugriff, lassen aber gezieltes Pet-Management und frühe Wavekontrolle zu. Deshalb leichter statt pauschal deutlicher Gesamt-Nachteil.</x:v>
      </x:c>
    </x:row>
    <x:row r="56" ht="145" customHeight="1">
      <x:c r="A56" s="3" t="str">
        <x:v>Zaahen</x:v>
      </x:c>
      <x:c r="B56" s="3" t="str">
        <x:v>C</x:v>
      </x:c>
      <x:c r="C56" s="3" t="str">
        <x:v>Olaf hat frühe Druckfenster, bevor Zaahen volle Passive und mehrere Heilzyklen bekommt. R-Defensive und Revive verlängern spätere Duelle. Der 26.18-Q2-Buff erhöht die Unsicherheit; C ist eine vorläufige Arbeitseinschätzung.</x:v>
      </x:c>
      <x:c r="D56" s="3" t="str">
        <x:v>Conqueror</x:v>
      </x:c>
      <x:c r="E56" s="3" t="str">
        <x:v>Heilung, defensive R-Phase und gegebenenfalls zweite Lebensphase machen den Fight lang. PTA-Frontload allein deckt diese Phasen nicht ab.</x:v>
      </x:c>
      <x:c r="F56" s="3" t="str">
        <x:v>Doran’s Blade + Health Potion</x:v>
      </x:c>
      <x:c r="G56" s="3" t="str">
        <x:v>Flash + Ghost</x:v>
      </x:c>
      <x:c r="H56" s="3" t="str">
        <x:v>Plated Steelcaps gegen Auto-/Q-Druck.</x:v>
      </x:c>
      <x:c r="I56" s="3" t="str">
        <x:v>Keinen pauschalen Sieger behaupten: Zaahens Q-Heilung und beginnender Stackaufbau gegen Olafs Q-Resets. Kurz handeln und volle Passive nicht gratis aufbauen lassen.</x:v>
      </x:c>
      <x:c r="J56" s="3" t="str">
        <x:v>Q-Recast und E-Dash beobachten. Außenkante von E vermeiden; nach W-Verfehlung und verbrauchtem E anlaufen, solange Passive nicht voll vorbereitet ist.</x:v>
      </x:c>
      <x:c r="K56" s="3" t="str">
        <x:v>Seine R besitzt eine defensive Castphase und Heilung über den Treffer. Ragnarok verhindert weder diese Defensive noch Revive. 26.18 startet der Cooldown einer aktiven Q bereits beim Eintritt in Wiederbelebung; beim Aufstehen nicht von sicher fehlender Q ausgehen.</x:v>
      </x:c>
      <x:c r="L56" s="3" t="str">
        <x:v>Passive Stacks/Revive-Bereitschaft, Q-Heilung/Recast, W-Zug, E-Außenkante, R-Defensivphase.</x:v>
      </x:c>
      <x:c r="M56" s="3" t="str">
        <x:v>E und Q-Recast verbraucht, R fehlt und Passive nicht voll beziehungsweise Revive nicht bereit. Nicht allein auf niedrige sichtbare HP reagieren.</x:v>
      </x:c>
      <x:c r="N56" s="3" t="str">
        <x:v>In R-Defensivphase den ganzen Burst investieren; Revive vergessen; voll gestackte Passive auf niedrigen eigenen HP statchecken.</x:v>
      </x:c>
      <x:c r="O56" s="3" t="str">
        <x:v>Wave auf eigener Seite mit seitlichem Raum. Nach verbrauchten Spells kurzer Druck/Slowpush; keinen langen Kampf in gegnerischem Minionstack.</x:v>
      </x:c>
      <x:c r="P56" s="3" t="str">
        <x:v>Q-Poke, W seitlich umgehen, nach E Auto–E. R-Castphase nicht statisch tanken; danach Auto–W–Auto, falls HP und passive zweite Phase kalkulierbar bleiben.</x:v>
      </x:c>
      <x:c r="Q56" s="3" t="str">
        <x:v>Ravenous Hydra für kurze Trades und Reset, danach Death’s Dance. Stridebreaker bei Kontaktproblemen als Alternative, nicht als Heilungsersatz.</x:v>
      </x:c>
      <x:c r="R56" s="3" t="str">
        <x:v>Executioner’s vor entscheidenden langen Heilkämpfen; Sterak’s als Burstpuffer. Crit-Linie hier kein Default, solange passive/defensive Phasen nicht zuverlässig überspielt werden.</x:v>
      </x:c>
      <x:c r="S56" s="3" t="str">
        <x:v>1 Item: Stackzustand wichtiger als bloße Itemzahl. 2 Items: Heilung/Defensive verlängert das Duell. 3 Items: Side ohne klare Passive-/R-Information meiden; qualitative Unsicherheit höher.</x:v>
      </x:c>
      <x:c r="T56" s="3" t="str">
        <x:v>Nutze frühe Fenster vor voller Passive und nach verbrauchtem E. Spiele um R-Defensive und plane die Wiederbelebung mit ein. Seit 26.18 kann Q nach Revive früher wieder bereit sein; nach dem Aufstehen keine freie zweite Schadensphase voraussetzen.</x:v>
      </x:c>
      <x:c r="U56" s="3" t="str">
        <x:v>PTA nur bei klar kurzen Team-Catches; für Zaahens mehrphasige Duelle Conqueror.</x:v>
      </x:c>
      <x:c r="V56" s="3" t="str">
        <x:v>Eigene qualitative Einschätzung, keine getestete optimale Spielweise. Gesamt-Tier meist mit etwa einer Stufe Spielraum. Lane und Side sind getrennte Phasenurteile; Teamcomp, Gold, Level und Build können sie verschieben. Statistik nur Patch 26.17, Kit-Abgleich mit 26.18. Erhöhte Unsicherheit durch Kit-Revisionen bzw. aktuellen Buff.</x:v>
      </x:c>
      <x:c r="W56" s="3" t="str">
        <x:v>26.18</x:v>
      </x:c>
      <x:c r="X56" s="3" t="str">
        <x:v>10.09.2026</x:v>
      </x:c>
      <x:c r="Y56" s="3" t="str">
        <x:v>B</x:v>
      </x:c>
      <x:c r="Z56" s="3" t="str">
        <x:v>D</x:v>
      </x:c>
      <x:c r="AA56" s="3" t="str">
        <x:v>D</x:v>
      </x:c>
      <x:c r="AB56" s="3" t="str">
        <x:v>Tier D → C. Lane B, späte Side D: Olaf hat frühe Druckfenster, bevor Zaahen volle Passive und mehrere Heilzyklen bekommt. R-Defensive und Revive verlängern spätere Duelle. Der 26.18-Q2-Buff erhöht die Unsicherheit; C ist eine vorläufige Arbeitseinschätzung.</x:v>
      </x:c>
    </x:row>
    <x:row r="57">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row>
    <x:row r="58">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row>
  </x:sheetData>
  <x:conditionalFormatting sqref="B6:B56">
    <x:cfRule type="cellIs" dxfId="7" priority="1" operator="equal">
      <x:formula>"Z"</x:formula>
    </x:cfRule>
    <x:cfRule type="cellIs" dxfId="8" priority="2" operator="equal">
      <x:formula>"A"</x:formula>
    </x:cfRule>
    <x:cfRule type="cellIs" dxfId="9" priority="3" operator="equal">
      <x:formula>"B"</x:formula>
    </x:cfRule>
    <x:cfRule type="cellIs" dxfId="10" priority="4" operator="equal">
      <x:formula>"C"</x:formula>
    </x:cfRule>
    <x:cfRule type="cellIs" dxfId="11" priority="5" operator="equal">
      <x:formula>"D"</x:formula>
    </x:cfRule>
    <x:cfRule type="cellIs" dxfId="12" priority="6" operator="equal">
      <x:formula>"E"</x:formula>
    </x:cfRule>
    <x:cfRule type="cellIs" dxfId="13" priority="7" operator="equal">
      <x:formula>"F"</x:formula>
    </x:cfRule>
  </x:conditionalFormatting>
  <x:pageMargins left="0.7" right="0.7" top="0.75" bottom="0.75" header="0.3" footer="0.3"/>
  <x:tableParts count="1">
    <x:tablePart xmlns:r="http://schemas.openxmlformats.org/officeDocument/2006/relationships" r:id="R44de5579bc61455a"/>
  </x:tableParts>
</x:worksheet>
</file>

<file path=xl/worksheets/sheet3.xml><?xml version="1.0" encoding="utf-8"?>
<worksheet xmlns="http://schemas.openxmlformats.org/spreadsheetml/2006/main" xmlns:r="http://schemas.openxmlformats.org/officeDocument/2006/relationships">
  <sheetViews>
    <sheetView showGridLines="0" workbookViewId="0">
      <pane ySplit="5" topLeftCell="A6" activePane="bottomLeft" state="frozen"/>
    </sheetView>
  </sheetViews>
  <sheetFormatPr defaultRowHeight="15"/>
  <cols>
    <col min="1" max="1" width="19" hidden="0" customWidth="1"/>
    <col min="2" max="2" width="24" hidden="0" customWidth="1"/>
    <col min="3" max="3" width="15" hidden="0" customWidth="1"/>
    <col min="4" max="4" width="19" hidden="0" customWidth="1"/>
    <col min="5" max="5" width="14" hidden="0" customWidth="1"/>
    <col min="6" max="6" width="18" hidden="0" customWidth="1"/>
    <col min="7" max="7" width="31" hidden="0" customWidth="1"/>
    <col min="8" max="8" width="96" hidden="0" customWidth="1"/>
  </cols>
  <sheetData>
    <row r="1">
      <c r="A1" s="3"/>
      <c r="B1" s="3"/>
      <c r="C1" s="3"/>
      <c r="D1" s="3"/>
      <c r="E1" s="3"/>
      <c r="F1" s="3"/>
      <c r="G1" s="3"/>
      <c r="H1" s="3"/>
    </row>
    <row r="2" ht="28" customHeight="1">
      <c r="A2" s="5" t="str">
        <v>Aufgenommener Toplane-Pool</v>
      </c>
      <c r="B2" s="3"/>
      <c r="C2" s="3"/>
      <c r="D2" s="3"/>
      <c r="E2" s="3"/>
      <c r="F2" s="3"/>
      <c r="G2" s="3"/>
      <c r="H2" s="3"/>
    </row>
    <row r="3">
      <c r="A3" s="3"/>
      <c r="B3" s="3"/>
      <c r="C3" s="3"/>
      <c r="D3" s="3"/>
      <c r="E3" s="3"/>
      <c r="F3" s="3"/>
      <c r="G3" s="3"/>
      <c r="H3" s="3"/>
    </row>
    <row r="4">
      <c r="A4" s="3"/>
      <c r="B4" s="3"/>
      <c r="C4" s="3"/>
      <c r="D4" s="3"/>
      <c r="E4" s="3"/>
      <c r="F4" s="3"/>
      <c r="G4" s="3"/>
      <c r="H4" s="3"/>
    </row>
    <row r="5" ht="34" customHeight="1">
      <c r="A5" s="9" t="str">
        <v>Champion</v>
      </c>
      <c r="B5" s="9" t="str">
        <v>Einordnung</v>
      </c>
      <c r="C5" s="9" t="str">
        <v>Top-Pickrate</v>
      </c>
      <c r="D5" s="9" t="str">
        <v>Champion-Spiele</v>
      </c>
      <c r="E5" s="9" t="str">
        <v>Datenpatch</v>
      </c>
      <c r="F5" s="9" t="str">
        <v>Anbieter</v>
      </c>
      <c r="G5" s="9" t="str">
        <v>Aufnahmegrund</v>
      </c>
      <c r="H5" s="9" t="str">
        <v>Quelle</v>
      </c>
    </row>
    <row r="6" ht="30" customHeight="1">
      <c r="A6" s="3" t="str">
        <v>Aatrox</v>
      </c>
      <c r="B6" s="3" t="str">
        <v>Regulärer Toplaner</v>
      </c>
      <c r="C6" s="16" t="n">
        <v>0.0594</v>
      </c>
      <c r="D6" s="17" t="n">
        <v>130801</v>
      </c>
      <c r="E6" s="3" t="str">
        <v>16.17</v>
      </c>
      <c r="F6" s="3" t="str">
        <v>LoLalytics</v>
      </c>
      <c r="G6" s="3" t="str">
        <v>Etablierter Toplaner ≥ 0,5 %</v>
      </c>
      <c r="H6" s="3" t="str">
        <v>https://lolalytics.com/lol/aatrox/build/?lane=top</v>
      </c>
    </row>
    <row r="7" ht="30" customHeight="1">
      <c r="A7" s="3" t="str">
        <v>Akali</v>
      </c>
      <c r="B7" s="3" t="str">
        <v>Häufiger Flex-Pick</v>
      </c>
      <c r="C7" s="16" t="n">
        <v>0.0259</v>
      </c>
      <c r="D7" s="17" t="n">
        <v>64565</v>
      </c>
      <c r="E7" s="3" t="str">
        <v>16.17</v>
      </c>
      <c r="F7" s="3" t="str">
        <v>LoLalytics</v>
      </c>
      <c r="G7" s="3" t="str">
        <v>Flex ≥ 1 %</v>
      </c>
      <c r="H7" s="3" t="str">
        <v>https://lolalytics.com/lol/akali/build/?lane=top</v>
      </c>
    </row>
    <row r="8" ht="30" customHeight="1">
      <c r="A8" s="3" t="str">
        <v>Ambessa</v>
      </c>
      <c r="B8" s="3" t="str">
        <v>Regulärer Toplaner</v>
      </c>
      <c r="C8" s="16" t="n">
        <v>0.0397</v>
      </c>
      <c r="D8" s="17" t="n">
        <v>37595</v>
      </c>
      <c r="E8" s="3" t="str">
        <v>16.17</v>
      </c>
      <c r="F8" s="3" t="str">
        <v>LoLalytics</v>
      </c>
      <c r="G8" s="3" t="str">
        <v>Etablierter Toplaner ≥ 0,5 %</v>
      </c>
      <c r="H8" s="3" t="str">
        <v>https://lolalytics.com/lol/ambessa/build/?lane=top</v>
      </c>
    </row>
    <row r="9" ht="30" customHeight="1">
      <c r="A9" s="3" t="str">
        <v>Camille</v>
      </c>
      <c r="B9" s="3" t="str">
        <v>Regulärer Toplaner</v>
      </c>
      <c r="C9" s="16" t="n">
        <v>0.0431</v>
      </c>
      <c r="D9" s="17" t="n">
        <v>106422</v>
      </c>
      <c r="E9" s="3" t="str">
        <v>16.17</v>
      </c>
      <c r="F9" s="3" t="str">
        <v>LoLalytics</v>
      </c>
      <c r="G9" s="3" t="str">
        <v>Etablierter Toplaner ≥ 0,5 %</v>
      </c>
      <c r="H9" s="3" t="str">
        <v>https://lolalytics.com/lol/camille/build/?lane=top</v>
      </c>
    </row>
    <row r="10" ht="30" customHeight="1">
      <c r="A10" s="3" t="str">
        <v>Cho’Gath</v>
      </c>
      <c r="B10" s="3" t="str">
        <v>Regulärer Toplaner</v>
      </c>
      <c r="C10" s="16" t="n">
        <v>0.0291</v>
      </c>
      <c r="D10" s="17" t="n">
        <v>40092</v>
      </c>
      <c r="E10" s="3" t="str">
        <v>16.17</v>
      </c>
      <c r="F10" s="3" t="str">
        <v>LoLalytics</v>
      </c>
      <c r="G10" s="3" t="str">
        <v>Etablierter Toplaner ≥ 0,5 %</v>
      </c>
      <c r="H10" s="3" t="str">
        <v>https://lolalytics.com/lol/chogath/build/?lane=top</v>
      </c>
    </row>
    <row r="11" ht="30" customHeight="1">
      <c r="A11" s="3" t="str">
        <v>Darius</v>
      </c>
      <c r="B11" s="3" t="str">
        <v>Regulärer Toplaner</v>
      </c>
      <c r="C11" s="16" t="n">
        <v>0.0718</v>
      </c>
      <c r="D11" s="17" t="n">
        <v>83672</v>
      </c>
      <c r="E11" s="3" t="str">
        <v>16.17</v>
      </c>
      <c r="F11" s="3" t="str">
        <v>LoLalytics</v>
      </c>
      <c r="G11" s="3" t="str">
        <v>Etablierter Toplaner ≥ 0,5 %</v>
      </c>
      <c r="H11" s="3" t="str">
        <v>https://lolalytics.com/lol/darius/build/?lane=top</v>
      </c>
    </row>
    <row r="12" ht="30" customHeight="1">
      <c r="A12" s="3" t="str">
        <v>Dr. Mundo</v>
      </c>
      <c r="B12" s="3" t="str">
        <v>Regulärer Toplaner</v>
      </c>
      <c r="C12" s="16" t="n">
        <v>0.0365</v>
      </c>
      <c r="D12" s="17" t="n">
        <v>3475</v>
      </c>
      <c r="E12" s="3" t="str">
        <v>16.17</v>
      </c>
      <c r="F12" s="3" t="str">
        <v>LoLalytics</v>
      </c>
      <c r="G12" s="3" t="str">
        <v>Etablierter Toplaner ≥ 0,5 %</v>
      </c>
      <c r="H12" s="3" t="str">
        <v>https://lolalytics.com/lol/drmundo/build/?lane=top</v>
      </c>
    </row>
    <row r="13" ht="30" customHeight="1">
      <c r="A13" s="3" t="str">
        <v>Fiora</v>
      </c>
      <c r="B13" s="3" t="str">
        <v>Regulärer Toplaner</v>
      </c>
      <c r="C13" s="16" t="n">
        <v>0.0355</v>
      </c>
      <c r="D13" s="17" t="n">
        <v>49802</v>
      </c>
      <c r="E13" s="3" t="str">
        <v>16.17</v>
      </c>
      <c r="F13" s="3" t="str">
        <v>LoLalytics</v>
      </c>
      <c r="G13" s="3" t="str">
        <v>Etablierter Toplaner ≥ 0,5 %</v>
      </c>
      <c r="H13" s="3" t="str">
        <v>https://lolalytics.com/lol/fiora/build/?lane=top</v>
      </c>
    </row>
    <row r="14" ht="30" customHeight="1">
      <c r="A14" s="3" t="str">
        <v>Gangplank</v>
      </c>
      <c r="B14" s="3" t="str">
        <v>Regulärer Toplaner</v>
      </c>
      <c r="C14" s="16" t="n">
        <v>0.0552</v>
      </c>
      <c r="D14" s="17" t="n">
        <v>121490</v>
      </c>
      <c r="E14" s="3" t="str">
        <v>16.17</v>
      </c>
      <c r="F14" s="3" t="str">
        <v>LoLalytics</v>
      </c>
      <c r="G14" s="3" t="str">
        <v>Etablierter Toplaner ≥ 0,5 %</v>
      </c>
      <c r="H14" s="3" t="str">
        <v>https://lolalytics.com/lol/gangplank/build/?lane=top</v>
      </c>
    </row>
    <row r="15" ht="30" customHeight="1">
      <c r="A15" s="3" t="str">
        <v>Garen</v>
      </c>
      <c r="B15" s="3" t="str">
        <v>Regulärer Toplaner</v>
      </c>
      <c r="C15" s="16" t="n">
        <v>0.0711</v>
      </c>
      <c r="D15" s="17" t="n">
        <v>156916</v>
      </c>
      <c r="E15" s="3" t="str">
        <v>16.17</v>
      </c>
      <c r="F15" s="3" t="str">
        <v>LoLalytics</v>
      </c>
      <c r="G15" s="3" t="str">
        <v>Etablierter Toplaner ≥ 0,5 %</v>
      </c>
      <c r="H15" s="3" t="str">
        <v>https://lolalytics.com/lol/garen/build/?lane=top</v>
      </c>
    </row>
    <row r="16" ht="30" customHeight="1">
      <c r="A16" s="3" t="str">
        <v>Gnar</v>
      </c>
      <c r="B16" s="3" t="str">
        <v>Regulärer Toplaner</v>
      </c>
      <c r="C16" s="16" t="n">
        <v>0.0358</v>
      </c>
      <c r="D16" s="17" t="n">
        <v>87408</v>
      </c>
      <c r="E16" s="3" t="str">
        <v>16.17</v>
      </c>
      <c r="F16" s="3" t="str">
        <v>LoLalytics</v>
      </c>
      <c r="G16" s="3" t="str">
        <v>Etablierter Toplaner ≥ 0,5 %</v>
      </c>
      <c r="H16" s="3" t="str">
        <v>https://lolalytics.com/lol/gnar/build/?lane=top</v>
      </c>
    </row>
    <row r="17" ht="30" customHeight="1">
      <c r="A17" s="3" t="str">
        <v>Gragas</v>
      </c>
      <c r="B17" s="3" t="str">
        <v>Regulärer Toplaner</v>
      </c>
      <c r="C17" s="16" t="n">
        <v>0.0219</v>
      </c>
      <c r="D17" s="17" t="n">
        <v>34607</v>
      </c>
      <c r="E17" s="3" t="str">
        <v>16.17</v>
      </c>
      <c r="F17" s="3" t="str">
        <v>LoLalytics</v>
      </c>
      <c r="G17" s="3" t="str">
        <v>Etablierter Toplaner ≥ 0,5 %</v>
      </c>
      <c r="H17" s="3" t="str">
        <v>https://lolalytics.com/lol/gragas/build/?lane=top</v>
      </c>
    </row>
    <row r="18" ht="30" customHeight="1">
      <c r="A18" s="3" t="str">
        <v>Gwen</v>
      </c>
      <c r="B18" s="3" t="str">
        <v>Regulärer Toplaner</v>
      </c>
      <c r="C18" s="16" t="n">
        <v>0.0277</v>
      </c>
      <c r="D18" s="17" t="n">
        <v>68362</v>
      </c>
      <c r="E18" s="3" t="str">
        <v>16.17</v>
      </c>
      <c r="F18" s="3" t="str">
        <v>LoLalytics</v>
      </c>
      <c r="G18" s="3" t="str">
        <v>Etablierter Toplaner ≥ 0,5 %</v>
      </c>
      <c r="H18" s="3" t="str">
        <v>https://lolalytics.com/lol/gwen/build/?lane=top</v>
      </c>
    </row>
    <row r="19" ht="30" customHeight="1">
      <c r="A19" s="3" t="str">
        <v>Heimerdinger</v>
      </c>
      <c r="B19" s="3" t="str">
        <v>Häufiger Flex-Pick</v>
      </c>
      <c r="C19" s="16" t="n">
        <v>0.0125</v>
      </c>
      <c r="D19" s="17" t="n">
        <v>27755</v>
      </c>
      <c r="E19" s="3" t="str">
        <v>16.17</v>
      </c>
      <c r="F19" s="3" t="str">
        <v>LoLalytics</v>
      </c>
      <c r="G19" s="3" t="str">
        <v>Flex ≥ 1 %</v>
      </c>
      <c r="H19" s="3" t="str">
        <v>https://lolalytics.com/lol/heimerdinger/build/?lane=top</v>
      </c>
    </row>
    <row r="20" ht="30" customHeight="1">
      <c r="A20" s="3" t="str">
        <v>Illaoi</v>
      </c>
      <c r="B20" s="3" t="str">
        <v>Regulärer Toplaner</v>
      </c>
      <c r="C20" s="16" t="n">
        <v>0.0275</v>
      </c>
      <c r="D20" s="17" t="n">
        <v>50820</v>
      </c>
      <c r="E20" s="3" t="str">
        <v>16.17</v>
      </c>
      <c r="F20" s="3" t="str">
        <v>LoLalytics</v>
      </c>
      <c r="G20" s="3" t="str">
        <v>Etablierter Toplaner ≥ 0,5 %</v>
      </c>
      <c r="H20" s="3" t="str">
        <v>https://lolalytics.com/lol/illaoi/build/?lane=top</v>
      </c>
    </row>
    <row r="21" ht="30" customHeight="1">
      <c r="A21" s="3" t="str">
        <v>Irelia</v>
      </c>
      <c r="B21" s="3" t="str">
        <v>Regulärer Toplaner</v>
      </c>
      <c r="C21" s="16" t="n">
        <v>0.0452</v>
      </c>
      <c r="D21" s="17" t="n">
        <v>99487</v>
      </c>
      <c r="E21" s="3" t="str">
        <v>16.17</v>
      </c>
      <c r="F21" s="3" t="str">
        <v>LoLalytics</v>
      </c>
      <c r="G21" s="3" t="str">
        <v>Etablierter Toplaner ≥ 0,5 %</v>
      </c>
      <c r="H21" s="3" t="str">
        <v>https://lolalytics.com/lol/irelia/build/?lane=top</v>
      </c>
    </row>
    <row r="22" ht="30" customHeight="1">
      <c r="A22" s="3" t="str">
        <v>Jax</v>
      </c>
      <c r="B22" s="3" t="str">
        <v>Regulärer Toplaner</v>
      </c>
      <c r="C22" s="16" t="n">
        <v>0.0596</v>
      </c>
      <c r="D22" s="17" t="n">
        <v>131196</v>
      </c>
      <c r="E22" s="3" t="str">
        <v>16.17</v>
      </c>
      <c r="F22" s="3" t="str">
        <v>LoLalytics</v>
      </c>
      <c r="G22" s="3" t="str">
        <v>Etablierter Toplaner ≥ 0,5 %</v>
      </c>
      <c r="H22" s="3" t="str">
        <v>https://lolalytics.com/lol/jax/build/?lane=top</v>
      </c>
    </row>
    <row r="23" ht="30" customHeight="1">
      <c r="A23" s="3" t="str">
        <v>Jayce</v>
      </c>
      <c r="B23" s="3" t="str">
        <v>Regulärer Toplaner</v>
      </c>
      <c r="C23" s="16" t="n">
        <v>0.0552</v>
      </c>
      <c r="D23" s="17" t="n">
        <v>134300</v>
      </c>
      <c r="E23" s="3" t="str">
        <v>16.17</v>
      </c>
      <c r="F23" s="3" t="str">
        <v>LoLalytics</v>
      </c>
      <c r="G23" s="3" t="str">
        <v>Etablierter Toplaner ≥ 0,5 %</v>
      </c>
      <c r="H23" s="3" t="str">
        <v>https://lolalytics.com/lol/jayce/build/?lane=top</v>
      </c>
    </row>
    <row r="24" ht="30" customHeight="1">
      <c r="A24" s="3" t="str">
        <v>K’Sante</v>
      </c>
      <c r="B24" s="3" t="str">
        <v>Regulärer Toplaner</v>
      </c>
      <c r="C24" s="16" t="n">
        <v>0.036699999999999997</v>
      </c>
      <c r="D24" s="17" t="n">
        <v>76989</v>
      </c>
      <c r="E24" s="3" t="str">
        <v>16.17</v>
      </c>
      <c r="F24" s="3" t="str">
        <v>LoLalytics</v>
      </c>
      <c r="G24" s="3" t="str">
        <v>Etablierter Toplaner ≥ 0,5 %</v>
      </c>
      <c r="H24" s="3" t="str">
        <v>https://lolalytics.com/lol/ksante/build/?lane=top</v>
      </c>
    </row>
    <row r="25" ht="30" customHeight="1">
      <c r="A25" s="3" t="str">
        <v>Kayle</v>
      </c>
      <c r="B25" s="3" t="str">
        <v>Regulärer Toplaner</v>
      </c>
      <c r="C25" s="16" t="n">
        <v>0.0219</v>
      </c>
      <c r="D25" s="17" t="n">
        <v>54365</v>
      </c>
      <c r="E25" s="3" t="str">
        <v>16.17</v>
      </c>
      <c r="F25" s="3" t="str">
        <v>LoLalytics</v>
      </c>
      <c r="G25" s="3" t="str">
        <v>Etablierter Toplaner ≥ 0,5 %</v>
      </c>
      <c r="H25" s="3" t="str">
        <v>https://lolalytics.com/lol/kayle/build/?lane=top</v>
      </c>
    </row>
    <row r="26" ht="30" customHeight="1">
      <c r="A26" s="3" t="str">
        <v>Kennen</v>
      </c>
      <c r="B26" s="3" t="str">
        <v>Regulärer Toplaner</v>
      </c>
      <c r="C26" s="16" t="n">
        <v>0.02</v>
      </c>
      <c r="D26" s="17" t="n">
        <v>11536</v>
      </c>
      <c r="E26" s="3" t="str">
        <v>16.17</v>
      </c>
      <c r="F26" s="3" t="str">
        <v>LoLalytics</v>
      </c>
      <c r="G26" s="3" t="str">
        <v>Etablierter Toplaner ≥ 0,5 %</v>
      </c>
      <c r="H26" s="3" t="str">
        <v>https://lolalytics.com/lol/kennen/build/?lane=top</v>
      </c>
    </row>
    <row r="27" ht="30" customHeight="1">
      <c r="A27" s="3" t="str">
        <v>Kled</v>
      </c>
      <c r="B27" s="3" t="str">
        <v>Regulärer Toplaner</v>
      </c>
      <c r="C27" s="16" t="n">
        <v>0.0179</v>
      </c>
      <c r="D27" s="17" t="n">
        <v>41875</v>
      </c>
      <c r="E27" s="3" t="str">
        <v>16.17</v>
      </c>
      <c r="F27" s="3" t="str">
        <v>LoLalytics</v>
      </c>
      <c r="G27" s="3" t="str">
        <v>Etablierter Toplaner ≥ 0,5 %</v>
      </c>
      <c r="H27" s="3" t="str">
        <v>https://lolalytics.com/lol/kled/build/</v>
      </c>
    </row>
    <row r="28" ht="30" customHeight="1">
      <c r="A28" s="3" t="str">
        <v>Malphite</v>
      </c>
      <c r="B28" s="3" t="str">
        <v>Regulärer Toplaner</v>
      </c>
      <c r="C28" s="16" t="n">
        <v>0.0669</v>
      </c>
      <c r="D28" s="17" t="n">
        <v>147770</v>
      </c>
      <c r="E28" s="3" t="str">
        <v>16.17</v>
      </c>
      <c r="F28" s="3" t="str">
        <v>LoLalytics</v>
      </c>
      <c r="G28" s="3" t="str">
        <v>Etablierter Toplaner ≥ 0,5 %</v>
      </c>
      <c r="H28" s="3" t="str">
        <v>https://lolalytics.com/lol/malphite/build/?lane=top</v>
      </c>
    </row>
    <row r="29" ht="30" customHeight="1">
      <c r="A29" s="3" t="str">
        <v>Mordekaiser</v>
      </c>
      <c r="B29" s="3" t="str">
        <v>Regulärer Toplaner</v>
      </c>
      <c r="C29" s="16" t="n">
        <v>0.0521</v>
      </c>
      <c r="D29" s="17" t="n">
        <v>110058</v>
      </c>
      <c r="E29" s="3" t="str">
        <v>16.17</v>
      </c>
      <c r="F29" s="3" t="str">
        <v>LoLalytics</v>
      </c>
      <c r="G29" s="3" t="str">
        <v>Etablierter Toplaner ≥ 0,5 %</v>
      </c>
      <c r="H29" s="3" t="str">
        <v>https://lolalytics.com/lol/mordekaiser/build/?lane=top</v>
      </c>
    </row>
    <row r="30" ht="30" customHeight="1">
      <c r="A30" s="3" t="str">
        <v>Nasus</v>
      </c>
      <c r="B30" s="3" t="str">
        <v>Regulärer Toplaner</v>
      </c>
      <c r="C30" s="16" t="n">
        <v>0.0843</v>
      </c>
      <c r="D30" s="17" t="n">
        <v>186128</v>
      </c>
      <c r="E30" s="3" t="str">
        <v>16.17</v>
      </c>
      <c r="F30" s="3" t="str">
        <v>LoLalytics</v>
      </c>
      <c r="G30" s="3" t="str">
        <v>Etablierter Toplaner ≥ 0,5 %</v>
      </c>
      <c r="H30" s="3" t="str">
        <v>https://lolalytics.com/lol/nasus/build/?lane=top</v>
      </c>
    </row>
    <row r="31" ht="30" customHeight="1">
      <c r="A31" s="3" t="str">
        <v>Ornn</v>
      </c>
      <c r="B31" s="3" t="str">
        <v>Regulärer Toplaner</v>
      </c>
      <c r="C31" s="16" t="n">
        <v>0.0329</v>
      </c>
      <c r="D31" s="17" t="n">
        <v>72497</v>
      </c>
      <c r="E31" s="3" t="str">
        <v>16.17</v>
      </c>
      <c r="F31" s="3" t="str">
        <v>LoLalytics</v>
      </c>
      <c r="G31" s="3" t="str">
        <v>Etablierter Toplaner ≥ 0,5 %</v>
      </c>
      <c r="H31" s="3" t="str">
        <v>https://lolalytics.com/lol/ornn/build/?lane=top</v>
      </c>
    </row>
    <row r="32" ht="30" customHeight="1">
      <c r="A32" s="3" t="str">
        <v>Pantheon</v>
      </c>
      <c r="B32" s="3" t="str">
        <v>Regulärer Toplaner</v>
      </c>
      <c r="C32" s="16" t="n">
        <v>0.027999999999999997</v>
      </c>
      <c r="D32" s="17" t="n">
        <v>58410</v>
      </c>
      <c r="E32" s="3" t="str">
        <v>16.17</v>
      </c>
      <c r="F32" s="3" t="str">
        <v>LoLalytics</v>
      </c>
      <c r="G32" s="3" t="str">
        <v>Etablierter Toplaner ≥ 0,5 %</v>
      </c>
      <c r="H32" s="3" t="str">
        <v>https://lolalytics.com/lol/pantheon/build/?lane=top</v>
      </c>
    </row>
    <row r="33" ht="30" customHeight="1">
      <c r="A33" s="3" t="str">
        <v>Poppy</v>
      </c>
      <c r="B33" s="3" t="str">
        <v>Regulärer Toplaner</v>
      </c>
      <c r="C33" s="16" t="n">
        <v>0.0096</v>
      </c>
      <c r="D33" s="17" t="n">
        <v>22587</v>
      </c>
      <c r="E33" s="3" t="str">
        <v>16.17</v>
      </c>
      <c r="F33" s="3" t="str">
        <v>LoLalytics</v>
      </c>
      <c r="G33" s="3" t="str">
        <v>Etablierter Toplaner ≥ 0,5 %</v>
      </c>
      <c r="H33" s="3" t="str">
        <v>https://lolalytics.com/lol/poppy/build/?lane=top</v>
      </c>
    </row>
    <row r="34" ht="30" customHeight="1">
      <c r="A34" s="3" t="str">
        <v>Quinn</v>
      </c>
      <c r="B34" s="3" t="str">
        <v>Regulärer Toplaner</v>
      </c>
      <c r="C34" s="16" t="n">
        <v>0.0087</v>
      </c>
      <c r="D34" s="17" t="n">
        <v>19907</v>
      </c>
      <c r="E34" s="3" t="str">
        <v>16.17</v>
      </c>
      <c r="F34" s="3" t="str">
        <v>LoLalytics</v>
      </c>
      <c r="G34" s="3" t="str">
        <v>Etablierter Toplaner ≥ 0,5 %</v>
      </c>
      <c r="H34" s="3" t="str">
        <v>https://lolalytics.com/lol/quinn/build/?lane=top</v>
      </c>
    </row>
    <row r="35" ht="30" customHeight="1">
      <c r="A35" s="3" t="str">
        <v>Renekton</v>
      </c>
      <c r="B35" s="3" t="str">
        <v>Regulärer Toplaner</v>
      </c>
      <c r="C35" s="16" t="n">
        <v>0.056299999999999996</v>
      </c>
      <c r="D35" s="17" t="n">
        <v>42377</v>
      </c>
      <c r="E35" s="3" t="str">
        <v>16.17</v>
      </c>
      <c r="F35" s="3" t="str">
        <v>LoLalytics</v>
      </c>
      <c r="G35" s="3" t="str">
        <v>Etablierter Toplaner ≥ 0,5 %</v>
      </c>
      <c r="H35" s="3" t="str">
        <v>https://lolalytics.com/lol/renekton/build/?lane=top</v>
      </c>
    </row>
    <row r="36" ht="30" customHeight="1">
      <c r="A36" s="3" t="str">
        <v>Riven</v>
      </c>
      <c r="B36" s="3" t="str">
        <v>Regulärer Toplaner</v>
      </c>
      <c r="C36" s="16" t="n">
        <v>0.0229</v>
      </c>
      <c r="D36" s="17" t="n">
        <v>33200</v>
      </c>
      <c r="E36" s="3" t="str">
        <v>16.17</v>
      </c>
      <c r="F36" s="3" t="str">
        <v>LoLalytics</v>
      </c>
      <c r="G36" s="3" t="str">
        <v>Etablierter Toplaner ≥ 0,5 %</v>
      </c>
      <c r="H36" s="3" t="str">
        <v>https://lolalytics.com/lol/riven/build/?lane=top</v>
      </c>
    </row>
    <row r="37" ht="30" customHeight="1">
      <c r="A37" s="3" t="str">
        <v>Rumble</v>
      </c>
      <c r="B37" s="3" t="str">
        <v>Regulärer Toplaner</v>
      </c>
      <c r="C37" s="16" t="n">
        <v>0.0166</v>
      </c>
      <c r="D37" s="17" t="n">
        <v>7981</v>
      </c>
      <c r="E37" s="3" t="str">
        <v>16.17</v>
      </c>
      <c r="F37" s="3" t="str">
        <v>LoLalytics</v>
      </c>
      <c r="G37" s="3" t="str">
        <v>Etablierter Toplaner ≥ 0,5 %</v>
      </c>
      <c r="H37" s="3" t="str">
        <v>https://lolalytics.com/lol/rumble/build/?lane=top</v>
      </c>
    </row>
    <row r="38" ht="30" customHeight="1">
      <c r="A38" s="3" t="str">
        <v>Sett</v>
      </c>
      <c r="B38" s="3" t="str">
        <v>Regulärer Toplaner</v>
      </c>
      <c r="C38" s="16" t="n">
        <v>0.056299999999999996</v>
      </c>
      <c r="D38" s="17" t="n">
        <v>139094</v>
      </c>
      <c r="E38" s="3" t="str">
        <v>16.17</v>
      </c>
      <c r="F38" s="3" t="str">
        <v>LoLalytics</v>
      </c>
      <c r="G38" s="3" t="str">
        <v>Etablierter Toplaner ≥ 0,5 %</v>
      </c>
      <c r="H38" s="3" t="str">
        <v>https://lolalytics.com/lol/sett/build/?lane=top</v>
      </c>
    </row>
    <row r="39" ht="30" customHeight="1">
      <c r="A39" s="3" t="str">
        <v>Shen</v>
      </c>
      <c r="B39" s="3" t="str">
        <v>Regulärer Toplaner</v>
      </c>
      <c r="C39" s="16" t="n">
        <v>0.035699999999999996</v>
      </c>
      <c r="D39" s="17" t="n">
        <v>78757</v>
      </c>
      <c r="E39" s="3" t="str">
        <v>16.17</v>
      </c>
      <c r="F39" s="3" t="str">
        <v>LoLalytics</v>
      </c>
      <c r="G39" s="3" t="str">
        <v>Etablierter Toplaner ≥ 0,5 %</v>
      </c>
      <c r="H39" s="3" t="str">
        <v>https://lolalytics.com/lol/shen/build/?lane=top</v>
      </c>
    </row>
    <row r="40" ht="30" customHeight="1">
      <c r="A40" s="3" t="str">
        <v>Singed</v>
      </c>
      <c r="B40" s="3" t="str">
        <v>Regulärer Toplaner</v>
      </c>
      <c r="C40" s="16" t="n">
        <v>0.0258</v>
      </c>
      <c r="D40" s="17" t="n">
        <v>30115</v>
      </c>
      <c r="E40" s="3" t="str">
        <v>16.17</v>
      </c>
      <c r="F40" s="3" t="str">
        <v>LoLalytics</v>
      </c>
      <c r="G40" s="3" t="str">
        <v>Etablierter Toplaner ≥ 0,5 %</v>
      </c>
      <c r="H40" s="3" t="str">
        <v>https://lolalytics.com/lol/singed/build/?lane=top</v>
      </c>
    </row>
    <row r="41" ht="30" customHeight="1">
      <c r="A41" s="3" t="str">
        <v>Sion</v>
      </c>
      <c r="B41" s="3" t="str">
        <v>Regulärer Toplaner</v>
      </c>
      <c r="C41" s="16" t="n">
        <v>0.027999999999999997</v>
      </c>
      <c r="D41" s="17" t="n">
        <v>77936</v>
      </c>
      <c r="E41" s="3" t="str">
        <v>16.17</v>
      </c>
      <c r="F41" s="3" t="str">
        <v>LoLalytics</v>
      </c>
      <c r="G41" s="3" t="str">
        <v>Etablierter Toplaner ≥ 0,5 %</v>
      </c>
      <c r="H41" s="3" t="str">
        <v>https://lolalytics.com/lol/sion/build/</v>
      </c>
    </row>
    <row r="42" ht="30" customHeight="1">
      <c r="A42" s="3" t="str">
        <v>Sylas</v>
      </c>
      <c r="B42" s="3" t="str">
        <v>Häufiger Flex-Pick</v>
      </c>
      <c r="C42" s="16" t="n">
        <v>0.0113</v>
      </c>
      <c r="D42" s="17" t="n">
        <v>19981</v>
      </c>
      <c r="E42" s="3" t="str">
        <v>16.17</v>
      </c>
      <c r="F42" s="3" t="str">
        <v>LoLalytics</v>
      </c>
      <c r="G42" s="3" t="str">
        <v>Flex ≥ 1 %</v>
      </c>
      <c r="H42" s="3" t="str">
        <v>https://lolalytics.com/lol/sylas/build/?lane=top</v>
      </c>
    </row>
    <row r="43" ht="30" customHeight="1">
      <c r="A43" s="3" t="str">
        <v>Tahm Kench</v>
      </c>
      <c r="B43" s="3" t="str">
        <v>Regulärer Toplaner</v>
      </c>
      <c r="C43" s="16" t="n">
        <v>0.017</v>
      </c>
      <c r="D43" s="17" t="n">
        <v>42346</v>
      </c>
      <c r="E43" s="3" t="str">
        <v>16.17</v>
      </c>
      <c r="F43" s="3" t="str">
        <v>LoLalytics</v>
      </c>
      <c r="G43" s="3" t="str">
        <v>Etablierter Toplaner ≥ 0,5 %</v>
      </c>
      <c r="H43" s="3" t="str">
        <v>https://lolalytics.com/lol/tahmkench/build/?lane=top</v>
      </c>
    </row>
    <row r="44" ht="30" customHeight="1">
      <c r="A44" s="3" t="str">
        <v>Teemo</v>
      </c>
      <c r="B44" s="3" t="str">
        <v>Regulärer Toplaner</v>
      </c>
      <c r="C44" s="16" t="n">
        <v>0.0414</v>
      </c>
      <c r="D44" s="17" t="n">
        <v>91255</v>
      </c>
      <c r="E44" s="3" t="str">
        <v>16.17</v>
      </c>
      <c r="F44" s="3" t="str">
        <v>LoLalytics</v>
      </c>
      <c r="G44" s="3" t="str">
        <v>Etablierter Toplaner ≥ 0,5 %</v>
      </c>
      <c r="H44" s="3" t="str">
        <v>https://lolalytics.com/lol/teemo/build/?lane=top</v>
      </c>
    </row>
    <row r="45" ht="30" customHeight="1">
      <c r="A45" s="3" t="str">
        <v>Trundle</v>
      </c>
      <c r="B45" s="3" t="str">
        <v>Regulärer Toplaner</v>
      </c>
      <c r="C45" s="16" t="n">
        <v>0.0182</v>
      </c>
      <c r="D45" s="17" t="n">
        <v>36134</v>
      </c>
      <c r="E45" s="3" t="str">
        <v>16.17</v>
      </c>
      <c r="F45" s="3" t="str">
        <v>LoLalytics</v>
      </c>
      <c r="G45" s="3" t="str">
        <v>Etablierter Toplaner ≥ 0,5 %</v>
      </c>
      <c r="H45" s="3" t="str">
        <v>https://lolalytics.com/lol/trundle/build/?lane=top</v>
      </c>
    </row>
    <row r="46" ht="30" customHeight="1">
      <c r="A46" s="3" t="str">
        <v>Tryndamere</v>
      </c>
      <c r="B46" s="3" t="str">
        <v>Regulärer Toplaner</v>
      </c>
      <c r="C46" s="16" t="n">
        <v>0.0321</v>
      </c>
      <c r="D46" s="17" t="n">
        <v>90628</v>
      </c>
      <c r="E46" s="3" t="str">
        <v>16.17</v>
      </c>
      <c r="F46" s="3" t="str">
        <v>LoLalytics</v>
      </c>
      <c r="G46" s="3" t="str">
        <v>Etablierter Toplaner ≥ 0,5 %</v>
      </c>
      <c r="H46" s="3" t="str">
        <v>https://lolalytics.com/lol/tryndamere/build/</v>
      </c>
    </row>
    <row r="47" ht="30" customHeight="1">
      <c r="A47" s="3" t="str">
        <v>Urgot</v>
      </c>
      <c r="B47" s="3" t="str">
        <v>Regulärer Toplaner</v>
      </c>
      <c r="C47" s="16" t="n">
        <v>0.024399999999999998</v>
      </c>
      <c r="D47" s="17" t="n">
        <v>20231</v>
      </c>
      <c r="E47" s="3" t="str">
        <v>16.17</v>
      </c>
      <c r="F47" s="3" t="str">
        <v>LoLalytics</v>
      </c>
      <c r="G47" s="3" t="str">
        <v>Etablierter Toplaner ≥ 0,5 %</v>
      </c>
      <c r="H47" s="3" t="str">
        <v>https://lolalytics.com/lol/urgot/build/?lane=top</v>
      </c>
    </row>
    <row r="48" ht="30" customHeight="1">
      <c r="A48" s="3" t="str">
        <v>Vayne</v>
      </c>
      <c r="B48" s="3" t="str">
        <v>Häufiger Flex-Pick</v>
      </c>
      <c r="C48" s="16" t="n">
        <v>0.020499999999999997</v>
      </c>
      <c r="D48" s="17" t="n">
        <v>50589</v>
      </c>
      <c r="E48" s="3" t="str">
        <v>16.17</v>
      </c>
      <c r="F48" s="3" t="str">
        <v>LoLalytics</v>
      </c>
      <c r="G48" s="3" t="str">
        <v>Flex ≥ 1 %</v>
      </c>
      <c r="H48" s="3" t="str">
        <v>https://lolalytics.com/lol/vayne/build/?lane=top</v>
      </c>
    </row>
    <row r="49" ht="30" customHeight="1">
      <c r="A49" s="3" t="str">
        <v>Vladimir</v>
      </c>
      <c r="B49" s="3" t="str">
        <v>Häufiger Flex-Pick</v>
      </c>
      <c r="C49" s="16" t="n">
        <v>0.0127</v>
      </c>
      <c r="D49" s="17" t="n">
        <v>31450</v>
      </c>
      <c r="E49" s="3" t="str">
        <v>16.17</v>
      </c>
      <c r="F49" s="3" t="str">
        <v>LoLalytics</v>
      </c>
      <c r="G49" s="3" t="str">
        <v>Flex ≥ 1 %</v>
      </c>
      <c r="H49" s="3" t="str">
        <v>https://lolalytics.com/lol/vladimir/build/?lane=top</v>
      </c>
    </row>
    <row r="50" ht="30" customHeight="1">
      <c r="A50" s="3" t="str">
        <v>Volibear</v>
      </c>
      <c r="B50" s="3" t="str">
        <v>Regulärer Toplaner</v>
      </c>
      <c r="C50" s="16" t="n">
        <v>0.0316</v>
      </c>
      <c r="D50" s="17" t="n">
        <v>79092</v>
      </c>
      <c r="E50" s="3" t="str">
        <v>16.17</v>
      </c>
      <c r="F50" s="3" t="str">
        <v>LoLalytics</v>
      </c>
      <c r="G50" s="3" t="str">
        <v>Etablierter Toplaner ≥ 0,5 %</v>
      </c>
      <c r="H50" s="3" t="str">
        <v>https://lolalytics.com/lol/volibear/build/?lane=top</v>
      </c>
    </row>
    <row r="51" ht="30" customHeight="1">
      <c r="A51" s="3" t="str">
        <v>Warwick</v>
      </c>
      <c r="B51" s="3" t="str">
        <v>Regulärer Toplaner</v>
      </c>
      <c r="C51" s="16" t="n">
        <v>0.013500000000000002</v>
      </c>
      <c r="D51" s="17" t="n">
        <v>32946</v>
      </c>
      <c r="E51" s="3" t="str">
        <v>16.17</v>
      </c>
      <c r="F51" s="3" t="str">
        <v>LoLalytics</v>
      </c>
      <c r="G51" s="3" t="str">
        <v>Etablierter Toplaner ≥ 0,5 %</v>
      </c>
      <c r="H51" s="3" t="str">
        <v>https://lolalytics.com/lol/warwick/build/?lane=top</v>
      </c>
    </row>
    <row r="52" ht="30" customHeight="1">
      <c r="A52" s="3" t="str">
        <v>Wukong</v>
      </c>
      <c r="B52" s="3" t="str">
        <v>Regulärer Toplaner</v>
      </c>
      <c r="C52" s="16" t="n">
        <v>0.0098</v>
      </c>
      <c r="D52" s="17" t="n">
        <v>24505</v>
      </c>
      <c r="E52" s="3" t="str">
        <v>16.17</v>
      </c>
      <c r="F52" s="3" t="str">
        <v>LoLalytics</v>
      </c>
      <c r="G52" s="3" t="str">
        <v>Etablierter Toplaner ≥ 0,5 %</v>
      </c>
      <c r="H52" s="3" t="str">
        <v>https://lolalytics.com/lol/wukong/build/?lane=top</v>
      </c>
    </row>
    <row r="53" ht="30" customHeight="1">
      <c r="A53" s="3" t="str">
        <v>Yasuo</v>
      </c>
      <c r="B53" s="3" t="str">
        <v>Häufiger Flex-Pick</v>
      </c>
      <c r="C53" s="16" t="n">
        <v>0.0349</v>
      </c>
      <c r="D53" s="17" t="n">
        <v>86743</v>
      </c>
      <c r="E53" s="3" t="str">
        <v>16.17</v>
      </c>
      <c r="F53" s="3" t="str">
        <v>LoLalytics</v>
      </c>
      <c r="G53" s="3" t="str">
        <v>Flex ≥ 1 %</v>
      </c>
      <c r="H53" s="3" t="str">
        <v>https://lolalytics.com/lol/yasuo/build/?lane=top</v>
      </c>
    </row>
    <row r="54" ht="30" customHeight="1">
      <c r="A54" s="3" t="str">
        <v>Yone</v>
      </c>
      <c r="B54" s="3" t="str">
        <v>Regulärer Toplaner</v>
      </c>
      <c r="C54" s="16" t="n">
        <v>0.0817</v>
      </c>
      <c r="D54" s="17" t="n">
        <v>204007</v>
      </c>
      <c r="E54" s="3" t="str">
        <v>16.17</v>
      </c>
      <c r="F54" s="3" t="str">
        <v>LoLalytics</v>
      </c>
      <c r="G54" s="3" t="str">
        <v>Etablierter Toplaner ≥ 0,5 %</v>
      </c>
      <c r="H54" s="3" t="str">
        <v>https://lolalytics.com/lol/yone/build/?lane=top</v>
      </c>
    </row>
    <row r="55" ht="30" customHeight="1">
      <c r="A55" s="3" t="str">
        <v>Yorick</v>
      </c>
      <c r="B55" s="3" t="str">
        <v>Regulärer Toplaner</v>
      </c>
      <c r="C55" s="16" t="n">
        <v>0.0313</v>
      </c>
      <c r="D55" s="17" t="n">
        <v>5566</v>
      </c>
      <c r="E55" s="3" t="str">
        <v>16.17</v>
      </c>
      <c r="F55" s="3" t="str">
        <v>LoLalytics</v>
      </c>
      <c r="G55" s="3" t="str">
        <v>Etablierter Toplaner ≥ 0,5 %</v>
      </c>
      <c r="H55" s="3" t="str">
        <v>https://lolalytics.com/lol/yorick/build/?lane=top</v>
      </c>
    </row>
    <row r="56" ht="30" customHeight="1">
      <c r="A56" s="3" t="str">
        <v>Zaahen</v>
      </c>
      <c r="B56" s="3" t="str">
        <v>Regulärer Toplaner</v>
      </c>
      <c r="C56" s="16" t="n">
        <v>0.026099999999999998</v>
      </c>
      <c r="D56" s="17" t="n">
        <v>73689</v>
      </c>
      <c r="E56" s="3" t="str">
        <v>16.17</v>
      </c>
      <c r="F56" s="3" t="str">
        <v>LoLalytics</v>
      </c>
      <c r="G56" s="3" t="str">
        <v>Etablierter Toplaner ≥ 0,5 %</v>
      </c>
      <c r="H56" s="3" t="str">
        <v>https://lolalytics.com/lol/zaahen/build/</v>
      </c>
    </row>
    <row r="57">
      <c r="A57" s="3"/>
      <c r="B57" s="3"/>
      <c r="C57" s="3"/>
      <c r="D57" s="3"/>
      <c r="E57" s="3"/>
      <c r="F57" s="3"/>
      <c r="G57" s="3"/>
      <c r="H57" s="3"/>
    </row>
    <row r="58">
      <c r="A58" s="3"/>
      <c r="B58" s="3"/>
      <c r="C58" s="3"/>
      <c r="D58" s="3"/>
      <c r="E58" s="3"/>
      <c r="F58" s="3"/>
      <c r="G58" s="3"/>
      <c r="H58" s="3"/>
    </row>
    <row r="59">
      <c r="A59" s="18" t="str">
        <v>Geprüfte Ausschlüsse</v>
      </c>
      <c r="B59" s="3"/>
      <c r="C59" s="3"/>
      <c r="D59" s="3"/>
      <c r="E59" s="3"/>
      <c r="F59" s="3"/>
      <c r="G59" s="3"/>
      <c r="H59" s="3"/>
    </row>
    <row r="60">
      <c r="A60" s="3"/>
      <c r="B60" s="3"/>
      <c r="C60" s="3"/>
      <c r="D60" s="3"/>
      <c r="E60" s="3"/>
      <c r="F60" s="3"/>
      <c r="G60" s="3"/>
      <c r="H60" s="3"/>
    </row>
    <row r="61" ht="34" customHeight="1">
      <c r="A61" s="9" t="str">
        <v>Champion</v>
      </c>
      <c r="B61" s="9" t="str">
        <v>Einordnung</v>
      </c>
      <c r="C61" s="9" t="str">
        <v>Top-Pickrate</v>
      </c>
      <c r="D61" s="9" t="str">
        <v>Champion-Spiele</v>
      </c>
      <c r="E61" s="9" t="str">
        <v>Datenpatch</v>
      </c>
      <c r="F61" s="9" t="str">
        <v>Anbieter</v>
      </c>
      <c r="G61" s="9" t="str">
        <v>Aufnahmegrund</v>
      </c>
      <c r="H61" s="9" t="str">
        <v>Quelle</v>
      </c>
    </row>
    <row r="62" ht="45" customHeight="1">
      <c r="A62" s="3" t="str">
        <v>Aurora</v>
      </c>
      <c r="B62" s="3" t="str">
        <v>Nicht aufgenommen</v>
      </c>
      <c r="C62" s="16" t="n">
        <v>0.0045000000000000005</v>
      </c>
      <c r="D62" s="3"/>
      <c r="E62" s="3" t="str">
        <v>16.17</v>
      </c>
      <c r="F62" s="3" t="str">
        <v>LoLalytics</v>
      </c>
      <c r="G62" s="3" t="str">
        <v>Flex unter 1 %</v>
      </c>
      <c r="H62" s="3" t="str">
        <v>https://lolalytics.com/lol/aurora/build/?lane=top</v>
      </c>
    </row>
    <row r="63" ht="45" customHeight="1">
      <c r="A63" s="3" t="str">
        <v>Akshan</v>
      </c>
      <c r="B63" s="3" t="str">
        <v>Nicht aufgenommen</v>
      </c>
      <c r="C63" s="16" t="n">
        <v>0.002</v>
      </c>
      <c r="D63" s="3"/>
      <c r="E63" s="3" t="str">
        <v>16.17</v>
      </c>
      <c r="F63" s="3" t="str">
        <v>LoLalytics</v>
      </c>
      <c r="G63" s="3" t="str">
        <v>Flex unter 1 %</v>
      </c>
      <c r="H63" s="3" t="str">
        <v>https://lolalytics.com/lol/akshan/build/?lane=top</v>
      </c>
    </row>
    <row r="64" ht="45" customHeight="1">
      <c r="A64" s="3" t="str">
        <v>Ryze</v>
      </c>
      <c r="B64" s="3" t="str">
        <v>Nicht aufgenommen</v>
      </c>
      <c r="C64" s="16" t="n">
        <v>0.0074</v>
      </c>
      <c r="D64" s="3"/>
      <c r="E64" s="3" t="str">
        <v>16.17</v>
      </c>
      <c r="F64" s="3" t="str">
        <v>LoLalytics</v>
      </c>
      <c r="G64" s="3" t="str">
        <v>Flex unter 1 %</v>
      </c>
      <c r="H64" s="3" t="str">
        <v>https://lolalytics.com/lol/ryze/build/?lane=top</v>
      </c>
    </row>
    <row r="65" ht="45" customHeight="1">
      <c r="A65" s="3" t="str">
        <v>Varus</v>
      </c>
      <c r="B65" s="3" t="str">
        <v>Nicht aufgenommen</v>
      </c>
      <c r="C65" s="16" t="n">
        <v>0.0072</v>
      </c>
      <c r="D65" s="3"/>
      <c r="E65" s="3" t="str">
        <v>16.17</v>
      </c>
      <c r="F65" s="3" t="str">
        <v>LoLalytics</v>
      </c>
      <c r="G65" s="3" t="str">
        <v>Flex unter 1 %</v>
      </c>
      <c r="H65" s="3" t="str">
        <v>https://lolalytics.com/lol/varus/build/?lane=top</v>
      </c>
    </row>
    <row r="66" ht="45" customHeight="1">
      <c r="A66" s="3" t="str">
        <v>Maokai</v>
      </c>
      <c r="B66" s="3" t="str">
        <v>Nicht aufgenommen</v>
      </c>
      <c r="C66" s="16" t="n">
        <v>0.0039000000000000003</v>
      </c>
      <c r="D66" s="3"/>
      <c r="E66" s="3" t="str">
        <v>16.17</v>
      </c>
      <c r="F66" s="3" t="str">
        <v>LoLalytics</v>
      </c>
      <c r="G66" s="3" t="str">
        <v>Unter 0,5 %; neu geprüft 10.09.2026</v>
      </c>
      <c r="H66" s="3" t="str">
        <v>https://lolalytics.com/lol/maokai/build/?lane=top</v>
      </c>
    </row>
    <row r="67" ht="45" customHeight="1">
      <c r="A67" s="3" t="str">
        <v>Rengar</v>
      </c>
      <c r="B67" s="3" t="str">
        <v>Nicht aufgenommen</v>
      </c>
      <c r="C67" s="16" t="n">
        <v>0.003</v>
      </c>
      <c r="D67" s="3"/>
      <c r="E67" s="3" t="str">
        <v>16.17</v>
      </c>
      <c r="F67" s="3" t="str">
        <v>LoLalytics</v>
      </c>
      <c r="G67" s="3" t="str">
        <v>Unter 0,5 %; neu geprüft 10.09.2026</v>
      </c>
      <c r="H67" s="3" t="str">
        <v>https://lolalytics.com/lol/rengar/build/?lane=top</v>
      </c>
    </row>
    <row r="68" ht="45" customHeight="1">
      <c r="A68" s="3" t="str">
        <v>Viktor</v>
      </c>
      <c r="B68" s="3" t="str">
        <v>Nicht aufgenommen</v>
      </c>
      <c r="C68" s="16" t="n">
        <v>0.0032</v>
      </c>
      <c r="D68" s="3"/>
      <c r="E68" s="3" t="str">
        <v>16.17</v>
      </c>
      <c r="F68" s="3" t="str">
        <v>LoLalytics</v>
      </c>
      <c r="G68" s="3" t="str">
        <v>Flex unter 1 %</v>
      </c>
      <c r="H68" s="3" t="str">
        <v>https://lolalytics.com/lol/viktor/build/?lane=top</v>
      </c>
    </row>
    <row r="69" ht="45" customHeight="1">
      <c r="A69" s="3" t="str">
        <v>Lissandra</v>
      </c>
      <c r="B69" s="3" t="str">
        <v>Nicht aufgenommen</v>
      </c>
      <c r="C69" s="16" t="n">
        <v>0.0045000000000000005</v>
      </c>
      <c r="D69" s="3"/>
      <c r="E69" s="3" t="str">
        <v>16.17</v>
      </c>
      <c r="F69" s="3" t="str">
        <v>LoLalytics</v>
      </c>
      <c r="G69" s="3" t="str">
        <v>Flex unter 1 %</v>
      </c>
      <c r="H69" s="3" t="str">
        <v>https://lolalytics.com/lol/lissandra/build/?lane=top</v>
      </c>
    </row>
    <row r="70" ht="45" customHeight="1">
      <c r="A70" s="3" t="str">
        <v>Ahri</v>
      </c>
      <c r="B70" s="3" t="str">
        <v>Nicht aufgenommen</v>
      </c>
      <c r="C70" s="16" t="n">
        <v>0.0024</v>
      </c>
      <c r="D70" s="3"/>
      <c r="E70" s="3" t="str">
        <v>16.17</v>
      </c>
      <c r="F70" s="3" t="str">
        <v>LoLalytics</v>
      </c>
      <c r="G70" s="3" t="str">
        <v>Flex unter 1 %</v>
      </c>
      <c r="H70" s="3" t="str">
        <v>https://lolalytics.com/lol/ahri/build/?lane=top</v>
      </c>
    </row>
    <row r="71" ht="45" customHeight="1">
      <c r="A71" s="3" t="str">
        <v>Qiyana</v>
      </c>
      <c r="B71" s="3" t="str">
        <v>Nicht aufgenommen</v>
      </c>
      <c r="C71" s="16" t="n">
        <v>0.0026</v>
      </c>
      <c r="D71" s="3"/>
      <c r="E71" s="3" t="str">
        <v>16.17</v>
      </c>
      <c r="F71" s="3" t="str">
        <v>LoLalytics</v>
      </c>
      <c r="G71" s="3" t="str">
        <v>Flex unter 1 %</v>
      </c>
      <c r="H71" s="3" t="str">
        <v>https://lolalytics.com/lol/qiyana/build/?lane=top</v>
      </c>
    </row>
    <row r="72" ht="45" customHeight="1">
      <c r="A72" s="3" t="str">
        <v>Zilean</v>
      </c>
      <c r="B72" s="3" t="str">
        <v>Nicht aufgenommen</v>
      </c>
      <c r="C72" s="16" t="n">
        <v>0.0028000000000000004</v>
      </c>
      <c r="D72" s="3"/>
      <c r="E72" s="3" t="str">
        <v>16.17</v>
      </c>
      <c r="F72" s="3" t="str">
        <v>LoLalytics</v>
      </c>
      <c r="G72" s="3" t="str">
        <v>Flex unter 1 %</v>
      </c>
      <c r="H72" s="3" t="str">
        <v>https://lolalytics.com/lol/zilean/build/?lane=top</v>
      </c>
    </row>
    <row r="73" ht="45" customHeight="1">
      <c r="A73" s="3" t="str">
        <v>Zed</v>
      </c>
      <c r="B73" s="3" t="str">
        <v>Nicht aufgenommen</v>
      </c>
      <c r="C73" s="16" t="n">
        <v>0.0070999999999999995</v>
      </c>
      <c r="D73" s="3"/>
      <c r="E73" s="3" t="str">
        <v>16.17</v>
      </c>
      <c r="F73" s="3" t="str">
        <v>LoLalytics</v>
      </c>
      <c r="G73" s="3" t="str">
        <v>Flex unter 1 %</v>
      </c>
      <c r="H73" s="3" t="str">
        <v>https://lolalytics.com/lol/zed/build/?lane=top</v>
      </c>
    </row>
    <row r="74">
      <c r="A74" s="3"/>
      <c r="B74" s="3"/>
      <c r="C74" s="3"/>
      <c r="D74" s="3"/>
      <c r="E74" s="3"/>
      <c r="F74" s="3"/>
      <c r="G74" s="3"/>
      <c r="H74" s="3"/>
    </row>
    <row r="75">
      <c r="A75" s="3"/>
      <c r="B75" s="3"/>
      <c r="C75" s="3"/>
      <c r="D75" s="3"/>
      <c r="E75" s="3"/>
      <c r="F75" s="3"/>
      <c r="G75" s="3"/>
      <c r="H75" s="3"/>
    </row>
    <row r="76">
      <c r="A76" s="3"/>
      <c r="B76" s="3"/>
      <c r="C76" s="3"/>
      <c r="D76" s="3"/>
      <c r="E76" s="3"/>
      <c r="F76" s="3"/>
      <c r="G76" s="3"/>
      <c r="H76" s="3"/>
    </row>
    <row r="77">
      <c r="A77" s="3"/>
      <c r="B77" s="3"/>
      <c r="C77" s="3"/>
      <c r="D77" s="3"/>
      <c r="E77" s="3"/>
      <c r="F77" s="3"/>
      <c r="G77" s="3"/>
      <c r="H77" s="3"/>
    </row>
    <row r="78">
      <c r="A78" s="3"/>
      <c r="B78" s="3"/>
      <c r="C78" s="3"/>
      <c r="D78" s="3"/>
      <c r="E78" s="3"/>
      <c r="F78" s="3"/>
      <c r="G78" s="3"/>
      <c r="H78" s="3"/>
    </row>
    <row r="79">
      <c r="A79" s="3"/>
      <c r="B79" s="3"/>
      <c r="C79" s="3"/>
      <c r="D79" s="3"/>
      <c r="E79" s="3"/>
      <c r="F79" s="3"/>
      <c r="G79" s="3"/>
      <c r="H79" s="3"/>
    </row>
    <row r="80">
      <c r="A80" s="3"/>
      <c r="B80" s="3"/>
      <c r="C80" s="3"/>
      <c r="D80" s="3"/>
      <c r="E80" s="3"/>
      <c r="F80" s="3"/>
      <c r="G80" s="3"/>
      <c r="H80" s="3"/>
    </row>
  </sheetData>
  <hyperlinks>
    <hyperlink ref="H6" r:id="rIdMatchupLink1"/>
    <hyperlink ref="H7" r:id="rIdMatchupLink2"/>
    <hyperlink ref="H8" r:id="rIdMatchupLink3"/>
    <hyperlink ref="H9" r:id="rIdMatchupLink4"/>
    <hyperlink ref="H10" r:id="rIdMatchupLink5"/>
    <hyperlink ref="H11" r:id="rIdMatchupLink6"/>
    <hyperlink ref="H12" r:id="rIdMatchupLink7"/>
    <hyperlink ref="H13" r:id="rIdMatchupLink8"/>
    <hyperlink ref="H14" r:id="rIdMatchupLink9"/>
    <hyperlink ref="H15" r:id="rIdMatchupLink10"/>
    <hyperlink ref="H16" r:id="rIdMatchupLink11"/>
    <hyperlink ref="H17" r:id="rIdMatchupLink12"/>
    <hyperlink ref="H18" r:id="rIdMatchupLink13"/>
    <hyperlink ref="H19" r:id="rIdMatchupLink14"/>
    <hyperlink ref="H20" r:id="rIdMatchupLink15"/>
    <hyperlink ref="H21" r:id="rIdMatchupLink16"/>
    <hyperlink ref="H22" r:id="rIdMatchupLink17"/>
    <hyperlink ref="H23" r:id="rIdMatchupLink18"/>
    <hyperlink ref="H24" r:id="rIdMatchupLink19"/>
    <hyperlink ref="H25" r:id="rIdMatchupLink20"/>
    <hyperlink ref="H26" r:id="rIdMatchupLink21"/>
    <hyperlink ref="H27" r:id="rIdMatchupLink22"/>
    <hyperlink ref="H28" r:id="rIdMatchupLink23"/>
    <hyperlink ref="H29" r:id="rIdMatchupLink24"/>
    <hyperlink ref="H30" r:id="rIdMatchupLink25"/>
    <hyperlink ref="H31" r:id="rIdMatchupLink26"/>
    <hyperlink ref="H32" r:id="rIdMatchupLink27"/>
    <hyperlink ref="H33" r:id="rIdMatchupLink28"/>
    <hyperlink ref="H34" r:id="rIdMatchupLink29"/>
    <hyperlink ref="H35" r:id="rIdMatchupLink30"/>
    <hyperlink ref="H36" r:id="rIdMatchupLink31"/>
    <hyperlink ref="H37" r:id="rIdMatchupLink32"/>
    <hyperlink ref="H38" r:id="rIdMatchupLink33"/>
    <hyperlink ref="H39" r:id="rIdMatchupLink34"/>
    <hyperlink ref="H40" r:id="rIdMatchupLink35"/>
    <hyperlink ref="H41" r:id="rIdMatchupLink36"/>
    <hyperlink ref="H42" r:id="rIdMatchupLink37"/>
    <hyperlink ref="H43" r:id="rIdMatchupLink38"/>
    <hyperlink ref="H44" r:id="rIdMatchupLink39"/>
    <hyperlink ref="H45" r:id="rIdMatchupLink40"/>
    <hyperlink ref="H46" r:id="rIdMatchupLink41"/>
    <hyperlink ref="H47" r:id="rIdMatchupLink42"/>
    <hyperlink ref="H48" r:id="rIdMatchupLink43"/>
    <hyperlink ref="H49" r:id="rIdMatchupLink44"/>
    <hyperlink ref="H50" r:id="rIdMatchupLink45"/>
    <hyperlink ref="H51" r:id="rIdMatchupLink46"/>
    <hyperlink ref="H52" r:id="rIdMatchupLink47"/>
    <hyperlink ref="H53" r:id="rIdMatchupLink48"/>
    <hyperlink ref="H54" r:id="rIdMatchupLink49"/>
    <hyperlink ref="H55" r:id="rIdMatchupLink50"/>
    <hyperlink ref="H56" r:id="rIdMatchupLink51"/>
    <hyperlink ref="H62" r:id="rIdMatchupLink52"/>
    <hyperlink ref="H63" r:id="rIdMatchupLink53"/>
    <hyperlink ref="H64" r:id="rIdMatchupLink54"/>
    <hyperlink ref="H65" r:id="rIdMatchupLink55"/>
    <hyperlink ref="H66" r:id="rIdMatchupLink56"/>
    <hyperlink ref="H67" r:id="rIdMatchupLink57"/>
    <hyperlink ref="H68" r:id="rIdMatchupLink58"/>
    <hyperlink ref="H69" r:id="rIdMatchupLink59"/>
    <hyperlink ref="H70" r:id="rIdMatchupLink60"/>
    <hyperlink ref="H71" r:id="rIdMatchupLink61"/>
    <hyperlink ref="H72" r:id="rIdMatchupLink62"/>
    <hyperlink ref="H73" r:id="rIdMatchupLink63"/>
  </hyperlinks>
  <pageMargins left="0.7" right="0.7" top="0.75" bottom="0.75" header="0.3" footer="0.3"/>
  <tableParts count="2">
    <tablePart r:id="R4134ac8f791d43fd"/>
    <tablePart r:id="R4b30c2e53b0d4b12"/>
  </tableParts>
</worksheet>
</file>

<file path=xl/worksheets/sheet4.xml><?xml version="1.0" encoding="utf-8"?>
<worksheet xmlns="http://schemas.openxmlformats.org/spreadsheetml/2006/main" xmlns:r="http://schemas.openxmlformats.org/officeDocument/2006/relationships">
  <sheetViews>
    <sheetView showGridLines="0" workbookViewId="0">
      <pane ySplit="5" topLeftCell="A6" activePane="bottomLeft" state="frozen"/>
    </sheetView>
  </sheetViews>
  <sheetFormatPr defaultRowHeight="15"/>
  <cols>
    <col min="1" max="1" width="20" hidden="0" customWidth="1"/>
    <col min="2" max="2" width="19" hidden="0" customWidth="1"/>
    <col min="3" max="3" width="19" hidden="0" customWidth="1"/>
    <col min="4" max="4" width="15" hidden="0" customWidth="1"/>
    <col min="5" max="5" width="18" hidden="0" customWidth="1"/>
    <col min="6" max="6" width="18" hidden="0" customWidth="1"/>
    <col min="7" max="7" width="21" hidden="0" customWidth="1"/>
    <col min="8" max="8" width="15" hidden="0" customWidth="1"/>
    <col min="9" max="9" width="21" hidden="0" customWidth="1"/>
    <col min="10" max="10" width="19" hidden="0" customWidth="1"/>
    <col min="11" max="11" width="15" hidden="0" customWidth="1"/>
    <col min="12" max="12" width="57" hidden="0" customWidth="1"/>
    <col min="13" max="13" width="57" hidden="0" customWidth="1"/>
  </cols>
  <sheetData>
    <row r="1">
      <c r="A1" s="3"/>
      <c r="B1" s="3"/>
      <c r="C1" s="3"/>
      <c r="D1" s="3"/>
      <c r="E1" s="3"/>
      <c r="F1" s="3"/>
      <c r="G1" s="3"/>
      <c r="H1" s="3"/>
      <c r="I1" s="3"/>
      <c r="J1" s="3"/>
      <c r="K1" s="3"/>
      <c r="L1" s="3"/>
      <c r="M1" s="3"/>
    </row>
    <row r="2" ht="28" customHeight="1">
      <c r="A2" s="5" t="str">
        <v>Paarungsdaten aus zwei Quellen</v>
      </c>
      <c r="B2" s="3"/>
      <c r="C2" s="3"/>
      <c r="D2" s="3"/>
      <c r="E2" s="3"/>
      <c r="F2" s="3"/>
      <c r="G2" s="3"/>
      <c r="H2" s="3"/>
      <c r="I2" s="3"/>
      <c r="J2" s="3"/>
      <c r="K2" s="3"/>
      <c r="L2" s="3"/>
      <c r="M2" s="3"/>
    </row>
    <row r="3">
      <c r="A3" s="19" t="str">
        <v>Datenpatch 26.17/16.17 · abgerufen 10.09.2026 · Emerald+, weltweit · keine Lane-Winrates</v>
      </c>
      <c r="B3" s="3"/>
      <c r="C3" s="3"/>
      <c r="D3" s="3"/>
      <c r="E3" s="3"/>
      <c r="F3" s="3"/>
      <c r="G3" s="3"/>
      <c r="H3" s="3"/>
      <c r="I3" s="3"/>
      <c r="J3" s="3"/>
      <c r="K3" s="3"/>
      <c r="L3" s="3"/>
      <c r="M3" s="3"/>
    </row>
    <row r="4">
      <c r="A4" s="3"/>
      <c r="B4" s="3"/>
      <c r="C4" s="3"/>
      <c r="D4" s="3"/>
      <c r="E4" s="3"/>
      <c r="F4" s="3"/>
      <c r="G4" s="3"/>
      <c r="H4" s="3"/>
      <c r="I4" s="3"/>
      <c r="J4" s="3"/>
      <c r="K4" s="3"/>
      <c r="L4" s="3"/>
      <c r="M4" s="3"/>
    </row>
    <row r="5" ht="34" customHeight="1">
      <c r="A5" s="9" t="str">
        <v>Gegner</v>
      </c>
      <c r="B5" s="9" t="str">
        <v>U.GG Gegner-WR</v>
      </c>
      <c r="C5" s="9" t="str">
        <v>U.GG Olaf-WR</v>
      </c>
      <c r="D5" s="9" t="str">
        <v>U.GG Spiele</v>
      </c>
      <c r="E5" s="9" t="str">
        <v>Gegner-GD15</v>
      </c>
      <c r="F5" s="9" t="str">
        <v>Olaf-GD15</v>
      </c>
      <c r="G5" s="9" t="str">
        <v>LoLA rohe Olaf-WR</v>
      </c>
      <c r="H5" s="9" t="str">
        <v>LoLA Spiele</v>
      </c>
      <c r="I5" s="9" t="str">
        <v>LoLA Delta 2 (PP)</v>
      </c>
      <c r="J5" s="9" t="str">
        <v>Datenpatch</v>
      </c>
      <c r="K5" s="9" t="str">
        <v>Gesamt-Tier</v>
      </c>
      <c r="L5" s="9" t="str">
        <v>Quelle U.GG</v>
      </c>
      <c r="M5" s="9" t="str">
        <v>Quelle LoLA</v>
      </c>
    </row>
    <row r="6" ht="42" customHeight="1">
      <c r="A6" s="3" t="str">
        <v>Aatrox</v>
      </c>
      <c r="B6" s="16" t="n">
        <v>0.5167</v>
      </c>
      <c r="C6" s="16" t="n">
        <f>1-B6</f>
        <v>0.48329999999999995</v>
      </c>
      <c r="D6" s="17" t="n">
        <v>1796</v>
      </c>
      <c r="E6" s="17" t="n">
        <v>89</v>
      </c>
      <c r="F6" s="17" t="n">
        <f>-E6</f>
        <v>-89</v>
      </c>
      <c r="G6" s="16" t="n">
        <v>0.4863</v>
      </c>
      <c r="H6" s="17" t="n">
        <v>1933</v>
      </c>
      <c r="I6" s="20" t="n">
        <v>-4.27</v>
      </c>
      <c r="J6" s="3" t="str">
        <v>26.17 / 16.17</v>
      </c>
      <c r="K6" s="3" t="str">
        <v>C</v>
      </c>
      <c r="L6" s="3" t="str">
        <v>https://u.gg/lol/champions/olaf/counter</v>
      </c>
      <c r="M6" s="3" t="str">
        <v>https://lolalytics.com/lol/olaf/counters/</v>
      </c>
    </row>
    <row r="7" ht="42" customHeight="1">
      <c r="A7" s="3" t="str">
        <v>Akali</v>
      </c>
      <c r="B7" s="16" t="n">
        <v>0.49689999999999995</v>
      </c>
      <c r="C7" s="16" t="n">
        <f>1-B7</f>
        <v>0.5031000000000001</v>
      </c>
      <c r="D7" s="17" t="n">
        <v>1296</v>
      </c>
      <c r="E7" s="17" t="n">
        <v>160</v>
      </c>
      <c r="F7" s="17" t="n">
        <f>-E7</f>
        <v>-160</v>
      </c>
      <c r="G7" s="16" t="n">
        <v>0.5145000000000001</v>
      </c>
      <c r="H7" s="17" t="n">
        <v>1347</v>
      </c>
      <c r="I7" s="20" t="n">
        <v>-1.68</v>
      </c>
      <c r="J7" s="3" t="str">
        <v>26.17 / 16.17</v>
      </c>
      <c r="K7" s="3" t="str">
        <v>D</v>
      </c>
      <c r="L7" s="3" t="str">
        <v>https://u.gg/lol/champions/olaf/counter</v>
      </c>
      <c r="M7" s="3" t="str">
        <v>https://lolalytics.com/lol/olaf/counters/</v>
      </c>
    </row>
    <row r="8" ht="42" customHeight="1">
      <c r="A8" s="3" t="str">
        <v>Ambessa</v>
      </c>
      <c r="B8" s="16" t="n">
        <v>0.4894</v>
      </c>
      <c r="C8" s="16" t="n">
        <f>1-B8</f>
        <v>0.5105999999999999</v>
      </c>
      <c r="D8" s="17" t="n">
        <v>1514</v>
      </c>
      <c r="E8" s="17" t="n">
        <v>-82</v>
      </c>
      <c r="F8" s="17" t="n">
        <f>-E8</f>
        <v>82</v>
      </c>
      <c r="G8" s="16" t="n">
        <v>0.5206000000000001</v>
      </c>
      <c r="H8" s="17" t="n">
        <v>1556</v>
      </c>
      <c r="I8" s="20" t="n">
        <v>-1.56</v>
      </c>
      <c r="J8" s="3" t="str">
        <v>26.17 / 16.17</v>
      </c>
      <c r="K8" s="3" t="str">
        <v>C</v>
      </c>
      <c r="L8" s="3" t="str">
        <v>https://u.gg/lol/champions/olaf/counter</v>
      </c>
      <c r="M8" s="3" t="str">
        <v>https://lolalytics.com/lol/olaf/counters/</v>
      </c>
    </row>
    <row r="9" ht="42" customHeight="1">
      <c r="A9" s="3" t="str">
        <v>Camille</v>
      </c>
      <c r="B9" s="16" t="n">
        <v>0.5316</v>
      </c>
      <c r="C9" s="16" t="n">
        <f>1-B9</f>
        <v>0.46840000000000004</v>
      </c>
      <c r="D9" s="17" t="n">
        <v>2218</v>
      </c>
      <c r="E9" s="17" t="n">
        <v>-119</v>
      </c>
      <c r="F9" s="17" t="n">
        <f>-E9</f>
        <v>119</v>
      </c>
      <c r="G9" s="16" t="n">
        <v>0.4706</v>
      </c>
      <c r="H9" s="17" t="n">
        <v>2327</v>
      </c>
      <c r="I9" s="20" t="n">
        <v>-4.53</v>
      </c>
      <c r="J9" s="3" t="str">
        <v>26.17 / 16.17</v>
      </c>
      <c r="K9" s="3" t="str">
        <v>D</v>
      </c>
      <c r="L9" s="3" t="str">
        <v>https://u.gg/lol/champions/olaf/counter</v>
      </c>
      <c r="M9" s="3" t="str">
        <v>https://lolalytics.com/lol/olaf/counters/</v>
      </c>
    </row>
    <row r="10" ht="42" customHeight="1">
      <c r="A10" s="3" t="str">
        <v>Cho’Gath</v>
      </c>
      <c r="B10" s="16" t="n">
        <v>0.4965</v>
      </c>
      <c r="C10" s="16" t="n">
        <f>1-B10</f>
        <v>0.5035000000000001</v>
      </c>
      <c r="D10" s="17" t="n">
        <v>1003</v>
      </c>
      <c r="E10" s="17" t="n">
        <v>-521</v>
      </c>
      <c r="F10" s="17" t="n">
        <f>-E10</f>
        <v>521</v>
      </c>
      <c r="G10" s="16" t="n">
        <v>0.5234000000000001</v>
      </c>
      <c r="H10" s="17" t="n">
        <v>1070</v>
      </c>
      <c r="I10" s="20" t="n">
        <v>0.82</v>
      </c>
      <c r="J10" s="3" t="str">
        <v>26.17 / 16.17</v>
      </c>
      <c r="K10" s="3" t="str">
        <v>B</v>
      </c>
      <c r="L10" s="3" t="str">
        <v>https://u.gg/lol/champions/olaf/counter</v>
      </c>
      <c r="M10" s="3" t="str">
        <v>https://lolalytics.com/lol/olaf/counters/</v>
      </c>
    </row>
    <row r="11" ht="42" customHeight="1">
      <c r="A11" s="3" t="str">
        <v>Darius</v>
      </c>
      <c r="B11" s="16" t="n">
        <v>0.5134000000000001</v>
      </c>
      <c r="C11" s="16" t="n">
        <f>1-B11</f>
        <v>0.4865999999999999</v>
      </c>
      <c r="D11" s="17" t="n">
        <v>2659</v>
      </c>
      <c r="E11" s="17" t="n">
        <v>126</v>
      </c>
      <c r="F11" s="17" t="n">
        <f>-E11</f>
        <v>-126</v>
      </c>
      <c r="G11" s="16" t="n">
        <v>0.4979</v>
      </c>
      <c r="H11" s="17" t="n">
        <v>2868</v>
      </c>
      <c r="I11" s="20" t="n">
        <v>-2.37</v>
      </c>
      <c r="J11" s="3" t="str">
        <v>26.17 / 16.17</v>
      </c>
      <c r="K11" s="3" t="str">
        <v>C</v>
      </c>
      <c r="L11" s="3" t="str">
        <v>https://u.gg/lol/champions/olaf/counter</v>
      </c>
      <c r="M11" s="3" t="str">
        <v>https://lolalytics.com/lol/olaf/counters/</v>
      </c>
    </row>
    <row r="12" ht="42" customHeight="1">
      <c r="A12" s="3" t="str">
        <v>Dr. Mundo</v>
      </c>
      <c r="B12" s="16" t="n">
        <v>0.467</v>
      </c>
      <c r="C12" s="16" t="n">
        <f>1-B12</f>
        <v>0.5329999999999999</v>
      </c>
      <c r="D12" s="17" t="n">
        <v>1062</v>
      </c>
      <c r="E12" s="17" t="n">
        <v>-755</v>
      </c>
      <c r="F12" s="17" t="n">
        <f>-E12</f>
        <v>755</v>
      </c>
      <c r="G12" s="16" t="n">
        <v>0.5421</v>
      </c>
      <c r="H12" s="17" t="n">
        <v>1140</v>
      </c>
      <c r="I12" s="20" t="n">
        <v>1.9</v>
      </c>
      <c r="J12" s="3" t="str">
        <v>26.17 / 16.17</v>
      </c>
      <c r="K12" s="3" t="str">
        <v>A</v>
      </c>
      <c r="L12" s="3" t="str">
        <v>https://u.gg/lol/champions/olaf/counter</v>
      </c>
      <c r="M12" s="3" t="str">
        <v>https://lolalytics.com/lol/olaf/counters/</v>
      </c>
    </row>
    <row r="13" ht="42" customHeight="1">
      <c r="A13" s="3" t="str">
        <v>Fiora</v>
      </c>
      <c r="B13" s="16" t="n">
        <v>0.5055</v>
      </c>
      <c r="C13" s="16" t="n">
        <f>1-B13</f>
        <v>0.49450000000000005</v>
      </c>
      <c r="D13" s="17" t="n">
        <v>1452</v>
      </c>
      <c r="E13" s="17" t="n">
        <v>-51</v>
      </c>
      <c r="F13" s="17" t="n">
        <f>-E13</f>
        <v>51</v>
      </c>
      <c r="G13" s="16" t="n">
        <v>0.504</v>
      </c>
      <c r="H13" s="17" t="n">
        <v>1518</v>
      </c>
      <c r="I13" s="20" t="n">
        <v>-2.27</v>
      </c>
      <c r="J13" s="3" t="str">
        <v>26.17 / 16.17</v>
      </c>
      <c r="K13" s="3" t="str">
        <v>D</v>
      </c>
      <c r="L13" s="3" t="str">
        <v>https://u.gg/lol/champions/olaf/counter</v>
      </c>
      <c r="M13" s="3" t="str">
        <v>https://lolalytics.com/lol/olaf/counters/</v>
      </c>
    </row>
    <row r="14" ht="42" customHeight="1">
      <c r="A14" s="3" t="str">
        <v>Gangplank</v>
      </c>
      <c r="B14" s="16" t="n">
        <v>0.4879</v>
      </c>
      <c r="C14" s="16" t="n">
        <f>1-B14</f>
        <v>0.5121</v>
      </c>
      <c r="D14" s="17" t="n">
        <v>3011</v>
      </c>
      <c r="E14" s="17" t="n">
        <v>-10</v>
      </c>
      <c r="F14" s="17" t="n">
        <f>-E14</f>
        <v>10</v>
      </c>
      <c r="G14" s="16" t="n">
        <v>0.5236</v>
      </c>
      <c r="H14" s="17" t="n">
        <v>3268</v>
      </c>
      <c r="I14" s="20" t="n">
        <v>1.04</v>
      </c>
      <c r="J14" s="3" t="str">
        <v>26.17 / 16.17</v>
      </c>
      <c r="K14" s="3" t="str">
        <v>B</v>
      </c>
      <c r="L14" s="3" t="str">
        <v>https://u.gg/lol/champions/olaf/counter</v>
      </c>
      <c r="M14" s="3" t="str">
        <v>https://lolalytics.com/lol/olaf/counters/</v>
      </c>
    </row>
    <row r="15" ht="42" customHeight="1">
      <c r="A15" s="3" t="str">
        <v>Garen</v>
      </c>
      <c r="B15" s="16" t="n">
        <v>0.5094</v>
      </c>
      <c r="C15" s="16" t="n">
        <f>1-B15</f>
        <v>0.49060000000000004</v>
      </c>
      <c r="D15" s="17" t="n">
        <v>2491</v>
      </c>
      <c r="E15" s="17" t="n">
        <v>-113</v>
      </c>
      <c r="F15" s="17" t="n">
        <f>-E15</f>
        <v>113</v>
      </c>
      <c r="G15" s="16" t="n">
        <v>0.5025999999999999</v>
      </c>
      <c r="H15" s="17" t="n">
        <v>2744</v>
      </c>
      <c r="I15" s="20" t="n">
        <v>-0.47</v>
      </c>
      <c r="J15" s="3" t="str">
        <v>26.17 / 16.17</v>
      </c>
      <c r="K15" s="3" t="str">
        <v>C</v>
      </c>
      <c r="L15" s="3" t="str">
        <v>https://u.gg/lol/champions/olaf/counter</v>
      </c>
      <c r="M15" s="3" t="str">
        <v>https://lolalytics.com/lol/olaf/counters/</v>
      </c>
    </row>
    <row r="16" ht="42" customHeight="1">
      <c r="A16" s="3" t="str">
        <v>Gnar</v>
      </c>
      <c r="B16" s="16" t="n">
        <v>0.4673</v>
      </c>
      <c r="C16" s="16" t="n">
        <f>1-B16</f>
        <v>0.5327</v>
      </c>
      <c r="D16" s="17" t="n">
        <v>1498</v>
      </c>
      <c r="E16" s="17" t="n">
        <v>-214</v>
      </c>
      <c r="F16" s="17" t="n">
        <f>-E16</f>
        <v>214</v>
      </c>
      <c r="G16" s="16" t="n">
        <v>0.5418999999999999</v>
      </c>
      <c r="H16" s="17" t="n">
        <v>1622</v>
      </c>
      <c r="I16" s="20" t="n">
        <v>0.88</v>
      </c>
      <c r="J16" s="3" t="str">
        <v>26.17 / 16.17</v>
      </c>
      <c r="K16" s="3" t="str">
        <v>A</v>
      </c>
      <c r="L16" s="3" t="str">
        <v>https://u.gg/lol/champions/olaf/counter</v>
      </c>
      <c r="M16" s="3" t="str">
        <v>https://lolalytics.com/lol/olaf/counters/</v>
      </c>
    </row>
    <row r="17" ht="42" customHeight="1">
      <c r="A17" s="3" t="str">
        <v>Gragas</v>
      </c>
      <c r="B17" s="16" t="n">
        <v>0.5021</v>
      </c>
      <c r="C17" s="16" t="n">
        <f>1-B17</f>
        <v>0.4979</v>
      </c>
      <c r="D17" s="17" t="n">
        <v>960</v>
      </c>
      <c r="E17" s="17" t="n">
        <v>-124</v>
      </c>
      <c r="F17" s="17" t="n">
        <f>-E17</f>
        <v>124</v>
      </c>
      <c r="G17" s="16" t="n">
        <v>0.5112</v>
      </c>
      <c r="H17" s="17" t="n">
        <v>1023</v>
      </c>
      <c r="I17" s="20" t="n">
        <v>-1.14</v>
      </c>
      <c r="J17" s="3" t="str">
        <v>26.17 / 16.17</v>
      </c>
      <c r="K17" s="3" t="str">
        <v>B</v>
      </c>
      <c r="L17" s="3" t="str">
        <v>https://u.gg/lol/champions/olaf/counter</v>
      </c>
      <c r="M17" s="3" t="str">
        <v>https://lolalytics.com/lol/olaf/counters/</v>
      </c>
    </row>
    <row r="18" ht="42" customHeight="1">
      <c r="A18" s="3" t="str">
        <v>Gwen</v>
      </c>
      <c r="B18" s="16" t="n">
        <v>0.5238</v>
      </c>
      <c r="C18" s="16" t="n">
        <f>1-B18</f>
        <v>0.47619999999999996</v>
      </c>
      <c r="D18" s="17" t="n">
        <v>861</v>
      </c>
      <c r="E18" s="17" t="n">
        <v>-387</v>
      </c>
      <c r="F18" s="17" t="n">
        <f>-E18</f>
        <v>387</v>
      </c>
      <c r="G18" s="16" t="n">
        <v>0.49310000000000004</v>
      </c>
      <c r="H18" s="17" t="n">
        <v>939</v>
      </c>
      <c r="I18" s="20" t="n">
        <v>-2.67</v>
      </c>
      <c r="J18" s="3" t="str">
        <v>26.17 / 16.17</v>
      </c>
      <c r="K18" s="3" t="str">
        <v>D</v>
      </c>
      <c r="L18" s="3" t="str">
        <v>https://u.gg/lol/champions/olaf/counter</v>
      </c>
      <c r="M18" s="3" t="str">
        <v>https://lolalytics.com/lol/olaf/counters/</v>
      </c>
    </row>
    <row r="19" ht="42" customHeight="1">
      <c r="A19" s="3" t="str">
        <v>Heimerdinger</v>
      </c>
      <c r="B19" s="16" t="n">
        <v>0.4806</v>
      </c>
      <c r="C19" s="16" t="n">
        <f>1-B19</f>
        <v>0.5194</v>
      </c>
      <c r="D19" s="17" t="n">
        <v>566</v>
      </c>
      <c r="E19" s="17" t="n">
        <v>431</v>
      </c>
      <c r="F19" s="17" t="n">
        <f>-E19</f>
        <v>-431</v>
      </c>
      <c r="G19" s="16" t="n">
        <v>0.5415</v>
      </c>
      <c r="H19" s="17" t="n">
        <v>650</v>
      </c>
      <c r="I19" s="20" t="n">
        <v>2.45</v>
      </c>
      <c r="J19" s="3" t="str">
        <v>26.17 / 16.17</v>
      </c>
      <c r="K19" s="3" t="str">
        <v>B</v>
      </c>
      <c r="L19" s="3" t="str">
        <v>https://u.gg/lol/champions/olaf/counter</v>
      </c>
      <c r="M19" s="3" t="str">
        <v>https://lolalytics.com/lol/olaf/counters/</v>
      </c>
    </row>
    <row r="20" ht="42" customHeight="1">
      <c r="A20" s="3" t="str">
        <v>Illaoi</v>
      </c>
      <c r="B20" s="16" t="n">
        <v>0.5149</v>
      </c>
      <c r="C20" s="16" t="n">
        <f>1-B20</f>
        <v>0.4851</v>
      </c>
      <c r="D20" s="17" t="n">
        <v>1206</v>
      </c>
      <c r="E20" s="17" t="n">
        <v>331</v>
      </c>
      <c r="F20" s="17" t="n">
        <f>-E20</f>
        <v>-331</v>
      </c>
      <c r="G20" s="16" t="n">
        <v>0.5008</v>
      </c>
      <c r="H20" s="17" t="n">
        <v>1332</v>
      </c>
      <c r="I20" s="20" t="n">
        <v>-1.01</v>
      </c>
      <c r="J20" s="3" t="str">
        <v>26.17 / 16.17</v>
      </c>
      <c r="K20" s="3" t="str">
        <v>D</v>
      </c>
      <c r="L20" s="3" t="str">
        <v>https://u.gg/lol/champions/olaf/counter</v>
      </c>
      <c r="M20" s="3" t="str">
        <v>https://lolalytics.com/lol/olaf/counters/</v>
      </c>
    </row>
    <row r="21" ht="42" customHeight="1">
      <c r="A21" s="3" t="str">
        <v>Irelia</v>
      </c>
      <c r="B21" s="16" t="n">
        <v>0.4953</v>
      </c>
      <c r="C21" s="16" t="n">
        <f>1-B21</f>
        <v>0.5046999999999999</v>
      </c>
      <c r="D21" s="17" t="n">
        <v>1383</v>
      </c>
      <c r="E21" s="17" t="n">
        <v>543</v>
      </c>
      <c r="F21" s="17" t="n">
        <f>-E21</f>
        <v>-543</v>
      </c>
      <c r="G21" s="16" t="n">
        <v>0.5127</v>
      </c>
      <c r="H21" s="17" t="n">
        <v>1500</v>
      </c>
      <c r="I21" s="20" t="n">
        <v>-0.5</v>
      </c>
      <c r="J21" s="3" t="str">
        <v>26.17 / 16.17</v>
      </c>
      <c r="K21" s="3" t="str">
        <v>C</v>
      </c>
      <c r="L21" s="3" t="str">
        <v>https://u.gg/lol/champions/olaf/counter</v>
      </c>
      <c r="M21" s="3" t="str">
        <v>https://lolalytics.com/lol/olaf/counters/</v>
      </c>
    </row>
    <row r="22" ht="42" customHeight="1">
      <c r="A22" s="3" t="str">
        <v>Jax</v>
      </c>
      <c r="B22" s="16" t="n">
        <v>0.49229999999999996</v>
      </c>
      <c r="C22" s="16" t="n">
        <f>1-B22</f>
        <v>0.5077</v>
      </c>
      <c r="D22" s="17" t="n">
        <v>3291</v>
      </c>
      <c r="E22" s="17" t="n">
        <v>0</v>
      </c>
      <c r="F22" s="17" t="n">
        <f>-E22</f>
        <v>0</v>
      </c>
      <c r="G22" s="16" t="n">
        <v>0.5241</v>
      </c>
      <c r="H22" s="17" t="n">
        <v>3530</v>
      </c>
      <c r="I22" s="20" t="n">
        <v>-0.25</v>
      </c>
      <c r="J22" s="3" t="str">
        <v>26.17 / 16.17</v>
      </c>
      <c r="K22" s="3" t="str">
        <v>C</v>
      </c>
      <c r="L22" s="3" t="str">
        <v>https://u.gg/lol/champions/olaf/counter</v>
      </c>
      <c r="M22" s="3" t="str">
        <v>https://lolalytics.com/lol/olaf/counters/</v>
      </c>
    </row>
    <row r="23" ht="42" customHeight="1">
      <c r="A23" s="3" t="str">
        <v>Jayce</v>
      </c>
      <c r="B23" s="16" t="n">
        <v>0.4731</v>
      </c>
      <c r="C23" s="16" t="n">
        <f>1-B23</f>
        <v>0.5268999999999999</v>
      </c>
      <c r="D23" s="17" t="n">
        <v>3126</v>
      </c>
      <c r="E23" s="17" t="n">
        <v>-199</v>
      </c>
      <c r="F23" s="17" t="n">
        <f>-E23</f>
        <v>199</v>
      </c>
      <c r="G23" s="16" t="n">
        <v>0.5361</v>
      </c>
      <c r="H23" s="17" t="n">
        <v>3350</v>
      </c>
      <c r="I23" s="20" t="n">
        <v>-1.25</v>
      </c>
      <c r="J23" s="3" t="str">
        <v>26.17 / 16.17</v>
      </c>
      <c r="K23" s="3" t="str">
        <v>B</v>
      </c>
      <c r="L23" s="3" t="str">
        <v>https://u.gg/lol/champions/olaf/counter</v>
      </c>
      <c r="M23" s="3" t="str">
        <v>https://lolalytics.com/lol/olaf/counters/</v>
      </c>
    </row>
    <row r="24" ht="42" customHeight="1">
      <c r="A24" s="3" t="str">
        <v>K’Sante</v>
      </c>
      <c r="B24" s="16" t="n">
        <v>0.4868</v>
      </c>
      <c r="C24" s="16" t="n">
        <f>1-B24</f>
        <v>0.5132</v>
      </c>
      <c r="D24" s="17" t="n">
        <v>1325</v>
      </c>
      <c r="E24" s="17" t="n">
        <v>241</v>
      </c>
      <c r="F24" s="17" t="n">
        <f>-E24</f>
        <v>-241</v>
      </c>
      <c r="G24" s="16" t="n">
        <v>0.5367999999999999</v>
      </c>
      <c r="H24" s="17" t="n">
        <v>1412</v>
      </c>
      <c r="I24" s="20" t="n">
        <v>-1.86</v>
      </c>
      <c r="J24" s="3" t="str">
        <v>26.17 / 16.17</v>
      </c>
      <c r="K24" s="3" t="str">
        <v>B</v>
      </c>
      <c r="L24" s="3" t="str">
        <v>https://u.gg/lol/champions/olaf/counter</v>
      </c>
      <c r="M24" s="3" t="str">
        <v>https://lolalytics.com/lol/olaf/counters/</v>
      </c>
    </row>
    <row r="25" ht="42" customHeight="1">
      <c r="A25" s="3" t="str">
        <v>Kayle</v>
      </c>
      <c r="B25" s="16" t="n">
        <v>0.5253</v>
      </c>
      <c r="C25" s="16" t="n">
        <f>1-B25</f>
        <v>0.4747</v>
      </c>
      <c r="D25" s="17" t="n">
        <v>790</v>
      </c>
      <c r="E25" s="17" t="n">
        <v>-730</v>
      </c>
      <c r="F25" s="17" t="n">
        <f>-E25</f>
        <v>730</v>
      </c>
      <c r="G25" s="16" t="n">
        <v>0.4982</v>
      </c>
      <c r="H25" s="17" t="n">
        <v>845</v>
      </c>
      <c r="I25" s="20" t="n">
        <v>-1.12</v>
      </c>
      <c r="J25" s="3" t="str">
        <v>26.17 / 16.17</v>
      </c>
      <c r="K25" s="3" t="str">
        <v>C</v>
      </c>
      <c r="L25" s="3" t="str">
        <v>https://u.gg/lol/champions/olaf/counter</v>
      </c>
      <c r="M25" s="3" t="str">
        <v>https://lolalytics.com/lol/olaf/counters/</v>
      </c>
    </row>
    <row r="26" ht="42" customHeight="1">
      <c r="A26" s="3" t="str">
        <v>Kennen</v>
      </c>
      <c r="B26" s="16" t="n">
        <v>0.46520000000000006</v>
      </c>
      <c r="C26" s="16" t="n">
        <f>1-B26</f>
        <v>0.5347999999999999</v>
      </c>
      <c r="D26" s="17" t="n">
        <v>847</v>
      </c>
      <c r="E26" s="17" t="n">
        <v>-289</v>
      </c>
      <c r="F26" s="17" t="n">
        <f>-E26</f>
        <v>289</v>
      </c>
      <c r="G26" s="16" t="n">
        <v>0.5461</v>
      </c>
      <c r="H26" s="17" t="n">
        <v>921</v>
      </c>
      <c r="I26" s="20" t="n">
        <v>2.99</v>
      </c>
      <c r="J26" s="3" t="str">
        <v>26.17 / 16.17</v>
      </c>
      <c r="K26" s="3" t="str">
        <v>A</v>
      </c>
      <c r="L26" s="3" t="str">
        <v>https://u.gg/lol/champions/olaf/counter</v>
      </c>
      <c r="M26" s="3" t="str">
        <v>https://lolalytics.com/lol/olaf/counters/</v>
      </c>
    </row>
    <row r="27" ht="42" customHeight="1">
      <c r="A27" s="3" t="str">
        <v>Kled</v>
      </c>
      <c r="B27" s="16" t="n">
        <v>0.5275</v>
      </c>
      <c r="C27" s="16" t="n">
        <f>1-B27</f>
        <v>0.47250000000000003</v>
      </c>
      <c r="D27" s="17" t="n">
        <v>1111</v>
      </c>
      <c r="E27" s="17" t="n">
        <v>454</v>
      </c>
      <c r="F27" s="17" t="n">
        <f>-E27</f>
        <v>-454</v>
      </c>
      <c r="G27" s="16" t="n">
        <v>0.488</v>
      </c>
      <c r="H27" s="17" t="n">
        <v>1166</v>
      </c>
      <c r="I27" s="20" t="n">
        <v>-2.25</v>
      </c>
      <c r="J27" s="3" t="str">
        <v>26.17 / 16.17</v>
      </c>
      <c r="K27" s="3" t="str">
        <v>D</v>
      </c>
      <c r="L27" s="3" t="str">
        <v>https://u.gg/lol/champions/olaf/counter</v>
      </c>
      <c r="M27" s="3" t="str">
        <v>https://lolalytics.com/lol/olaf/counters/</v>
      </c>
    </row>
    <row r="28" ht="42" customHeight="1">
      <c r="A28" s="3" t="str">
        <v>Malphite</v>
      </c>
      <c r="B28" s="16" t="n">
        <v>0.51</v>
      </c>
      <c r="C28" s="16" t="n">
        <f>1-B28</f>
        <v>0.49</v>
      </c>
      <c r="D28" s="17" t="n">
        <v>1806</v>
      </c>
      <c r="E28" s="17" t="n">
        <v>-472</v>
      </c>
      <c r="F28" s="17" t="n">
        <f>-E28</f>
        <v>472</v>
      </c>
      <c r="G28" s="16" t="n">
        <v>0.5142</v>
      </c>
      <c r="H28" s="17" t="n">
        <v>1933</v>
      </c>
      <c r="I28" s="20" t="n">
        <v>0.67</v>
      </c>
      <c r="J28" s="3" t="str">
        <v>26.17 / 16.17</v>
      </c>
      <c r="K28" s="3" t="str">
        <v>B</v>
      </c>
      <c r="L28" s="3" t="str">
        <v>https://u.gg/lol/champions/olaf/counter</v>
      </c>
      <c r="M28" s="3" t="str">
        <v>https://lolalytics.com/lol/olaf/counters/</v>
      </c>
    </row>
    <row r="29" ht="42" customHeight="1">
      <c r="A29" s="3" t="str">
        <v>Mordekaiser</v>
      </c>
      <c r="B29" s="16" t="n">
        <v>0.4861</v>
      </c>
      <c r="C29" s="16" t="n">
        <f>1-B29</f>
        <v>0.5139</v>
      </c>
      <c r="D29" s="17" t="n">
        <v>3205</v>
      </c>
      <c r="E29" s="17" t="n">
        <v>-466</v>
      </c>
      <c r="F29" s="17" t="n">
        <f>-E29</f>
        <v>466</v>
      </c>
      <c r="G29" s="16" t="n">
        <v>0.5395</v>
      </c>
      <c r="H29" s="17" t="n">
        <v>3581</v>
      </c>
      <c r="I29" s="20" t="n">
        <v>1.66</v>
      </c>
      <c r="J29" s="3" t="str">
        <v>26.17 / 16.17</v>
      </c>
      <c r="K29" s="3" t="str">
        <v>A</v>
      </c>
      <c r="L29" s="3" t="str">
        <v>https://u.gg/lol/champions/olaf/counter</v>
      </c>
      <c r="M29" s="3" t="str">
        <v>https://lolalytics.com/lol/olaf/counters/</v>
      </c>
    </row>
    <row r="30" ht="42" customHeight="1">
      <c r="A30" s="3" t="str">
        <v>Nasus</v>
      </c>
      <c r="B30" s="16" t="n">
        <v>0.5051</v>
      </c>
      <c r="C30" s="16" t="n">
        <f>1-B30</f>
        <v>0.4949</v>
      </c>
      <c r="D30" s="17" t="n">
        <v>3987</v>
      </c>
      <c r="E30" s="17" t="n">
        <v>-748</v>
      </c>
      <c r="F30" s="17" t="n">
        <f>-E30</f>
        <v>748</v>
      </c>
      <c r="G30" s="16" t="n">
        <v>0.5153</v>
      </c>
      <c r="H30" s="17" t="n">
        <v>4450</v>
      </c>
      <c r="I30" s="20" t="n">
        <v>0.74</v>
      </c>
      <c r="J30" s="3" t="str">
        <v>26.17 / 16.17</v>
      </c>
      <c r="K30" s="3" t="str">
        <v>B</v>
      </c>
      <c r="L30" s="3" t="str">
        <v>https://u.gg/lol/champions/olaf/counter</v>
      </c>
      <c r="M30" s="3" t="str">
        <v>https://lolalytics.com/lol/olaf/counters/</v>
      </c>
    </row>
    <row r="31" ht="42" customHeight="1">
      <c r="A31" s="3" t="str">
        <v>Ornn</v>
      </c>
      <c r="B31" s="16" t="n">
        <v>0.4941</v>
      </c>
      <c r="C31" s="16" t="n">
        <f>1-B31</f>
        <v>0.5059</v>
      </c>
      <c r="D31" s="17" t="n">
        <v>1281</v>
      </c>
      <c r="E31" s="17" t="n">
        <v>-486</v>
      </c>
      <c r="F31" s="17" t="n">
        <f>-E31</f>
        <v>486</v>
      </c>
      <c r="G31" s="16" t="n">
        <v>0.5221</v>
      </c>
      <c r="H31" s="17" t="n">
        <v>1381</v>
      </c>
      <c r="I31" s="20" t="n">
        <v>1.28</v>
      </c>
      <c r="J31" s="3" t="str">
        <v>26.17 / 16.17</v>
      </c>
      <c r="K31" s="3" t="str">
        <v>B</v>
      </c>
      <c r="L31" s="3" t="str">
        <v>https://u.gg/lol/champions/olaf/counter</v>
      </c>
      <c r="M31" s="3" t="str">
        <v>https://lolalytics.com/lol/olaf/counters/</v>
      </c>
    </row>
    <row r="32" ht="42" customHeight="1">
      <c r="A32" s="3" t="str">
        <v>Pantheon</v>
      </c>
      <c r="B32" s="16" t="n">
        <v>0.5051</v>
      </c>
      <c r="C32" s="16" t="n">
        <f>1-B32</f>
        <v>0.4949</v>
      </c>
      <c r="D32" s="17" t="n">
        <v>1085</v>
      </c>
      <c r="E32" s="17" t="n">
        <v>-121</v>
      </c>
      <c r="F32" s="17" t="n">
        <f>-E32</f>
        <v>121</v>
      </c>
      <c r="G32" s="16" t="n">
        <v>0.5088</v>
      </c>
      <c r="H32" s="17" t="n">
        <v>1189</v>
      </c>
      <c r="I32" s="20" t="n">
        <v>-0.89</v>
      </c>
      <c r="J32" s="3" t="str">
        <v>26.17 / 16.17</v>
      </c>
      <c r="K32" s="3" t="str">
        <v>B</v>
      </c>
      <c r="L32" s="3" t="str">
        <v>https://u.gg/lol/champions/olaf/counter</v>
      </c>
      <c r="M32" s="3" t="str">
        <v>https://lolalytics.com/lol/olaf/counters/</v>
      </c>
    </row>
    <row r="33" ht="42" customHeight="1">
      <c r="A33" s="3" t="str">
        <v>Poppy</v>
      </c>
      <c r="B33" s="16" t="n">
        <v>0.49329999999999996</v>
      </c>
      <c r="C33" s="16" t="n">
        <f>1-B33</f>
        <v>0.5067</v>
      </c>
      <c r="D33" s="17" t="n">
        <v>446</v>
      </c>
      <c r="E33" s="17" t="n">
        <v>-315</v>
      </c>
      <c r="F33" s="17" t="n">
        <f>-E33</f>
        <v>315</v>
      </c>
      <c r="G33" s="16" t="n">
        <v>0.5146999999999999</v>
      </c>
      <c r="H33" s="17" t="n">
        <v>476</v>
      </c>
      <c r="I33" s="20" t="n">
        <v>-0.81</v>
      </c>
      <c r="J33" s="3" t="str">
        <v>26.17 / 16.17</v>
      </c>
      <c r="K33" s="3" t="str">
        <v>B</v>
      </c>
      <c r="L33" s="3" t="str">
        <v>https://u.gg/lol/champions/olaf/counter</v>
      </c>
      <c r="M33" s="3" t="str">
        <v>https://lolalytics.com/lol/olaf/counters/</v>
      </c>
    </row>
    <row r="34" ht="42" customHeight="1">
      <c r="A34" s="3" t="str">
        <v>Quinn</v>
      </c>
      <c r="B34" s="16"/>
      <c r="C34" s="16"/>
      <c r="D34" s="17"/>
      <c r="E34" s="17"/>
      <c r="F34" s="17"/>
      <c r="G34" s="16" t="n">
        <v>0.5138</v>
      </c>
      <c r="H34" s="17" t="n">
        <v>362</v>
      </c>
      <c r="I34" s="20" t="n">
        <v>1.55</v>
      </c>
      <c r="J34" s="3" t="str">
        <v>26.17 / 16.17</v>
      </c>
      <c r="K34" s="3" t="str">
        <v>B</v>
      </c>
      <c r="L34" s="3" t="str">
        <v>https://u.gg/lol/champions/olaf/counter</v>
      </c>
      <c r="M34" s="3" t="str">
        <v>https://lolalytics.com/lol/olaf/counters/</v>
      </c>
    </row>
    <row r="35" ht="42" customHeight="1">
      <c r="A35" s="3" t="str">
        <v>Renekton</v>
      </c>
      <c r="B35" s="16" t="n">
        <v>0.49570000000000003</v>
      </c>
      <c r="C35" s="16" t="n">
        <f>1-B35</f>
        <v>0.5043</v>
      </c>
      <c r="D35" s="17" t="n">
        <v>1854</v>
      </c>
      <c r="E35" s="17" t="n">
        <v>171</v>
      </c>
      <c r="F35" s="17" t="n">
        <f>-E35</f>
        <v>-171</v>
      </c>
      <c r="G35" s="16" t="n">
        <v>0.5164</v>
      </c>
      <c r="H35" s="17" t="n">
        <v>1956</v>
      </c>
      <c r="I35" s="20" t="n">
        <v>-0.88</v>
      </c>
      <c r="J35" s="3" t="str">
        <v>26.17 / 16.17</v>
      </c>
      <c r="K35" s="3" t="str">
        <v>C</v>
      </c>
      <c r="L35" s="3" t="str">
        <v>https://u.gg/lol/champions/olaf/counter</v>
      </c>
      <c r="M35" s="3" t="str">
        <v>https://lolalytics.com/lol/olaf/counters/</v>
      </c>
    </row>
    <row r="36" ht="42" customHeight="1">
      <c r="A36" s="3" t="str">
        <v>Riven</v>
      </c>
      <c r="B36" s="16" t="n">
        <v>0.4396</v>
      </c>
      <c r="C36" s="16" t="n">
        <f>1-B36</f>
        <v>0.5604</v>
      </c>
      <c r="D36" s="17" t="n">
        <v>894</v>
      </c>
      <c r="E36" s="17" t="n">
        <v>-275</v>
      </c>
      <c r="F36" s="17" t="n">
        <f>-E36</f>
        <v>275</v>
      </c>
      <c r="G36" s="16" t="n">
        <v>0.5657</v>
      </c>
      <c r="H36" s="17" t="n">
        <v>951</v>
      </c>
      <c r="I36" s="20" t="n">
        <v>3.79</v>
      </c>
      <c r="J36" s="3" t="str">
        <v>26.17 / 16.17</v>
      </c>
      <c r="K36" s="3" t="str">
        <v>A</v>
      </c>
      <c r="L36" s="3" t="str">
        <v>https://u.gg/lol/champions/olaf/counter</v>
      </c>
      <c r="M36" s="3" t="str">
        <v>https://lolalytics.com/lol/olaf/counters/</v>
      </c>
    </row>
    <row r="37" ht="42" customHeight="1">
      <c r="A37" s="3" t="str">
        <v>Rumble</v>
      </c>
      <c r="B37" s="16" t="n">
        <v>0.5293</v>
      </c>
      <c r="C37" s="16" t="n">
        <f>1-B37</f>
        <v>0.4707</v>
      </c>
      <c r="D37" s="17" t="n">
        <v>733</v>
      </c>
      <c r="E37" s="17" t="n">
        <v>-384</v>
      </c>
      <c r="F37" s="17" t="n">
        <f>-E37</f>
        <v>384</v>
      </c>
      <c r="G37" s="16" t="n">
        <v>0.4987</v>
      </c>
      <c r="H37" s="17" t="n">
        <v>788</v>
      </c>
      <c r="I37" s="20" t="n">
        <v>-4.12</v>
      </c>
      <c r="J37" s="3" t="str">
        <v>26.17 / 16.17</v>
      </c>
      <c r="K37" s="3" t="str">
        <v>D</v>
      </c>
      <c r="L37" s="3" t="str">
        <v>https://u.gg/lol/champions/olaf/counter</v>
      </c>
      <c r="M37" s="3" t="str">
        <v>https://lolalytics.com/lol/olaf/counters/</v>
      </c>
    </row>
    <row r="38" ht="42" customHeight="1">
      <c r="A38" s="3" t="str">
        <v>Sett</v>
      </c>
      <c r="B38" s="16" t="n">
        <v>0.503</v>
      </c>
      <c r="C38" s="16" t="n">
        <f>1-B38</f>
        <v>0.497</v>
      </c>
      <c r="D38" s="17" t="n">
        <v>1992</v>
      </c>
      <c r="E38" s="17" t="n">
        <v>260</v>
      </c>
      <c r="F38" s="17" t="n">
        <f>-E38</f>
        <v>-260</v>
      </c>
      <c r="G38" s="16" t="n">
        <v>0.5114</v>
      </c>
      <c r="H38" s="17" t="n">
        <v>2151</v>
      </c>
      <c r="I38" s="20" t="n">
        <v>-0.3</v>
      </c>
      <c r="J38" s="3" t="str">
        <v>26.17 / 16.17</v>
      </c>
      <c r="K38" s="3" t="str">
        <v>C</v>
      </c>
      <c r="L38" s="3" t="str">
        <v>https://u.gg/lol/champions/olaf/counter</v>
      </c>
      <c r="M38" s="3" t="str">
        <v>https://lolalytics.com/lol/olaf/counters/</v>
      </c>
    </row>
    <row r="39" ht="42" customHeight="1">
      <c r="A39" s="3" t="str">
        <v>Shen</v>
      </c>
      <c r="B39" s="16" t="n">
        <v>0.4997</v>
      </c>
      <c r="C39" s="16" t="n">
        <f>1-B39</f>
        <v>0.5003</v>
      </c>
      <c r="D39" s="17" t="n">
        <v>1469</v>
      </c>
      <c r="E39" s="17" t="n">
        <v>-829</v>
      </c>
      <c r="F39" s="17" t="n">
        <f>-E39</f>
        <v>829</v>
      </c>
      <c r="G39" s="16" t="n">
        <v>0.5175</v>
      </c>
      <c r="H39" s="17" t="n">
        <v>1573</v>
      </c>
      <c r="I39" s="20" t="n">
        <v>0.55</v>
      </c>
      <c r="J39" s="3" t="str">
        <v>26.17 / 16.17</v>
      </c>
      <c r="K39" s="3" t="str">
        <v>B</v>
      </c>
      <c r="L39" s="3" t="str">
        <v>https://u.gg/lol/champions/olaf/counter</v>
      </c>
      <c r="M39" s="3" t="str">
        <v>https://lolalytics.com/lol/olaf/counters/</v>
      </c>
    </row>
    <row r="40" ht="42" customHeight="1">
      <c r="A40" s="3" t="str">
        <v>Singed</v>
      </c>
      <c r="B40" s="16" t="n">
        <v>0.5085000000000001</v>
      </c>
      <c r="C40" s="16" t="n">
        <f>1-B40</f>
        <v>0.49149999999999994</v>
      </c>
      <c r="D40" s="17" t="n">
        <v>995</v>
      </c>
      <c r="E40" s="17" t="n">
        <v>-463</v>
      </c>
      <c r="F40" s="17" t="n">
        <f>-E40</f>
        <v>463</v>
      </c>
      <c r="G40" s="16" t="n">
        <v>0.5103</v>
      </c>
      <c r="H40" s="17" t="n">
        <v>1064</v>
      </c>
      <c r="I40" s="20" t="n">
        <v>0.48</v>
      </c>
      <c r="J40" s="3" t="str">
        <v>26.17 / 16.17</v>
      </c>
      <c r="K40" s="3" t="str">
        <v>B</v>
      </c>
      <c r="L40" s="3" t="str">
        <v>https://u.gg/lol/champions/olaf/counter</v>
      </c>
      <c r="M40" s="3" t="str">
        <v>https://lolalytics.com/lol/olaf/counters/</v>
      </c>
    </row>
    <row r="41" ht="42" customHeight="1">
      <c r="A41" s="3" t="str">
        <v>Sion</v>
      </c>
      <c r="B41" s="16" t="n">
        <v>0.5023</v>
      </c>
      <c r="C41" s="16" t="n">
        <f>1-B41</f>
        <v>0.49770000000000003</v>
      </c>
      <c r="D41" s="17" t="n">
        <v>856</v>
      </c>
      <c r="E41" s="17" t="n">
        <v>-110</v>
      </c>
      <c r="F41" s="17" t="n">
        <f>-E41</f>
        <v>110</v>
      </c>
      <c r="G41" s="16" t="n">
        <v>0.5179</v>
      </c>
      <c r="H41" s="17" t="n">
        <v>921</v>
      </c>
      <c r="I41" s="20" t="n">
        <v>-1.2</v>
      </c>
      <c r="J41" s="3" t="str">
        <v>26.17 / 16.17</v>
      </c>
      <c r="K41" s="3" t="str">
        <v>B</v>
      </c>
      <c r="L41" s="3" t="str">
        <v>https://u.gg/lol/champions/olaf/counter</v>
      </c>
      <c r="M41" s="3" t="str">
        <v>https://lolalytics.com/lol/olaf/counters/</v>
      </c>
    </row>
    <row r="42" ht="42" customHeight="1">
      <c r="A42" s="3" t="str">
        <v>Sylas</v>
      </c>
      <c r="B42" s="16"/>
      <c r="C42" s="16"/>
      <c r="D42" s="17"/>
      <c r="E42" s="17"/>
      <c r="F42" s="17"/>
      <c r="G42" s="16" t="n">
        <v>0.5781000000000001</v>
      </c>
      <c r="H42" s="17" t="n">
        <v>301</v>
      </c>
      <c r="I42" s="20" t="n">
        <v>6.07</v>
      </c>
      <c r="J42" s="3" t="str">
        <v>26.17 / 16.17</v>
      </c>
      <c r="K42" s="3" t="str">
        <v>B</v>
      </c>
      <c r="L42" s="3" t="str">
        <v>https://u.gg/lol/champions/olaf/counter</v>
      </c>
      <c r="M42" s="3" t="str">
        <v>https://lolalytics.com/lol/olaf/counters/</v>
      </c>
    </row>
    <row r="43" ht="42" customHeight="1">
      <c r="A43" s="3" t="str">
        <v>Tahm Kench</v>
      </c>
      <c r="B43" s="16" t="n">
        <v>0.5159</v>
      </c>
      <c r="C43" s="16" t="n">
        <f>1-B43</f>
        <v>0.4841</v>
      </c>
      <c r="D43" s="17" t="n">
        <v>597</v>
      </c>
      <c r="E43" s="17" t="n">
        <v>-405</v>
      </c>
      <c r="F43" s="17" t="n">
        <f>-E43</f>
        <v>405</v>
      </c>
      <c r="G43" s="16" t="n">
        <v>0.48710000000000003</v>
      </c>
      <c r="H43" s="17" t="n">
        <v>661</v>
      </c>
      <c r="I43" s="20" t="n">
        <v>-3.43</v>
      </c>
      <c r="J43" s="3" t="str">
        <v>26.17 / 16.17</v>
      </c>
      <c r="K43" s="3" t="str">
        <v>C</v>
      </c>
      <c r="L43" s="3" t="str">
        <v>https://u.gg/lol/champions/olaf/counter</v>
      </c>
      <c r="M43" s="3" t="str">
        <v>https://lolalytics.com/lol/olaf/counters/</v>
      </c>
    </row>
    <row r="44" ht="42" customHeight="1">
      <c r="A44" s="3" t="str">
        <v>Teemo</v>
      </c>
      <c r="B44" s="16" t="n">
        <v>0.44179999999999997</v>
      </c>
      <c r="C44" s="16" t="n">
        <f>1-B44</f>
        <v>0.5582</v>
      </c>
      <c r="D44" s="17" t="n">
        <v>2395</v>
      </c>
      <c r="E44" s="17" t="n">
        <v>-624</v>
      </c>
      <c r="F44" s="17" t="n">
        <f>-E44</f>
        <v>624</v>
      </c>
      <c r="G44" s="16" t="n">
        <v>0.5696</v>
      </c>
      <c r="H44" s="17" t="n">
        <v>2793</v>
      </c>
      <c r="I44" s="20" t="n">
        <v>6.63</v>
      </c>
      <c r="J44" s="3" t="str">
        <v>26.17 / 16.17</v>
      </c>
      <c r="K44" s="3" t="str">
        <v>A</v>
      </c>
      <c r="L44" s="3" t="str">
        <v>https://u.gg/lol/champions/olaf/counter</v>
      </c>
      <c r="M44" s="3" t="str">
        <v>https://lolalytics.com/lol/olaf/counters/</v>
      </c>
    </row>
    <row r="45" ht="42" customHeight="1">
      <c r="A45" s="3" t="str">
        <v>Trundle</v>
      </c>
      <c r="B45" s="16" t="n">
        <v>0.5289</v>
      </c>
      <c r="C45" s="16" t="n">
        <f>1-B45</f>
        <v>0.47109999999999996</v>
      </c>
      <c r="D45" s="17" t="n">
        <v>1766</v>
      </c>
      <c r="E45" s="17" t="n">
        <v>153</v>
      </c>
      <c r="F45" s="17" t="n">
        <f>-E45</f>
        <v>-153</v>
      </c>
      <c r="G45" s="16" t="n">
        <v>0.48719999999999997</v>
      </c>
      <c r="H45" s="17" t="n">
        <v>1946</v>
      </c>
      <c r="I45" s="20" t="n">
        <v>-4.15</v>
      </c>
      <c r="J45" s="3" t="str">
        <v>26.17 / 16.17</v>
      </c>
      <c r="K45" s="3" t="str">
        <v>E</v>
      </c>
      <c r="L45" s="3" t="str">
        <v>https://u.gg/lol/champions/olaf/counter</v>
      </c>
      <c r="M45" s="3" t="str">
        <v>https://lolalytics.com/lol/olaf/counters/</v>
      </c>
    </row>
    <row r="46" ht="42" customHeight="1">
      <c r="A46" s="3" t="str">
        <v>Tryndamere</v>
      </c>
      <c r="B46" s="16" t="n">
        <v>0.5438000000000001</v>
      </c>
      <c r="C46" s="16" t="n">
        <f>1-B46</f>
        <v>0.45619999999999994</v>
      </c>
      <c r="D46" s="17" t="n">
        <v>1611</v>
      </c>
      <c r="E46" s="17" t="n">
        <v>306</v>
      </c>
      <c r="F46" s="17" t="n">
        <f>-E46</f>
        <v>-306</v>
      </c>
      <c r="G46" s="16" t="n">
        <v>0.48969999999999997</v>
      </c>
      <c r="H46" s="17" t="n">
        <v>1744</v>
      </c>
      <c r="I46" s="20" t="n">
        <v>-2.55</v>
      </c>
      <c r="J46" s="3" t="str">
        <v>26.17 / 16.17</v>
      </c>
      <c r="K46" s="3" t="str">
        <v>E</v>
      </c>
      <c r="L46" s="3" t="str">
        <v>https://u.gg/lol/champions/olaf/counter</v>
      </c>
      <c r="M46" s="3" t="str">
        <v>https://lolalytics.com/lol/olaf/counters/</v>
      </c>
    </row>
    <row r="47" ht="42" customHeight="1">
      <c r="A47" s="3" t="str">
        <v>Urgot</v>
      </c>
      <c r="B47" s="16" t="n">
        <v>0.4867</v>
      </c>
      <c r="C47" s="16" t="n">
        <f>1-B47</f>
        <v>0.5133</v>
      </c>
      <c r="D47" s="17" t="n">
        <v>1315</v>
      </c>
      <c r="E47" s="17" t="n">
        <v>-453</v>
      </c>
      <c r="F47" s="17" t="n">
        <f>-E47</f>
        <v>453</v>
      </c>
      <c r="G47" s="16" t="n">
        <v>0.5354</v>
      </c>
      <c r="H47" s="17" t="n">
        <v>1440</v>
      </c>
      <c r="I47" s="20" t="n">
        <v>2.37</v>
      </c>
      <c r="J47" s="3" t="str">
        <v>26.17 / 16.17</v>
      </c>
      <c r="K47" s="3" t="str">
        <v>A</v>
      </c>
      <c r="L47" s="3" t="str">
        <v>https://u.gg/lol/champions/olaf/counter</v>
      </c>
      <c r="M47" s="3" t="str">
        <v>https://lolalytics.com/lol/olaf/counters/</v>
      </c>
    </row>
    <row r="48" ht="42" customHeight="1">
      <c r="A48" s="3" t="str">
        <v>Vayne</v>
      </c>
      <c r="B48" s="16" t="n">
        <v>0.49</v>
      </c>
      <c r="C48" s="16" t="n">
        <f>1-B48</f>
        <v>0.51</v>
      </c>
      <c r="D48" s="17" t="n">
        <v>951</v>
      </c>
      <c r="E48" s="17" t="n">
        <v>-507</v>
      </c>
      <c r="F48" s="17" t="n">
        <f>-E48</f>
        <v>507</v>
      </c>
      <c r="G48" s="16" t="n">
        <v>0.5138</v>
      </c>
      <c r="H48" s="17" t="n">
        <v>1016</v>
      </c>
      <c r="I48" s="20" t="n">
        <v>-3.68</v>
      </c>
      <c r="J48" s="3" t="str">
        <v>26.17 / 16.17</v>
      </c>
      <c r="K48" s="3" t="str">
        <v>D</v>
      </c>
      <c r="L48" s="3" t="str">
        <v>https://u.gg/lol/champions/olaf/counter</v>
      </c>
      <c r="M48" s="3" t="str">
        <v>https://lolalytics.com/lol/olaf/counters/</v>
      </c>
    </row>
    <row r="49" ht="42" customHeight="1">
      <c r="A49" s="3" t="str">
        <v>Vladimir</v>
      </c>
      <c r="B49" s="16"/>
      <c r="C49" s="16"/>
      <c r="D49" s="17"/>
      <c r="E49" s="17"/>
      <c r="F49" s="17"/>
      <c r="G49" s="16" t="n">
        <v>0.5399</v>
      </c>
      <c r="H49" s="17" t="n">
        <v>363</v>
      </c>
      <c r="I49" s="20" t="n">
        <v>1.27</v>
      </c>
      <c r="J49" s="3" t="str">
        <v>26.17 / 16.17</v>
      </c>
      <c r="K49" s="3" t="str">
        <v>B</v>
      </c>
      <c r="L49" s="3" t="str">
        <v>https://u.gg/lol/champions/olaf/counter</v>
      </c>
      <c r="M49" s="3" t="str">
        <v>https://lolalytics.com/lol/olaf/counters/</v>
      </c>
    </row>
    <row r="50" ht="42" customHeight="1">
      <c r="A50" s="3" t="str">
        <v>Volibear</v>
      </c>
      <c r="B50" s="16" t="n">
        <v>0.4829</v>
      </c>
      <c r="C50" s="16" t="n">
        <f>1-B50</f>
        <v>0.5171</v>
      </c>
      <c r="D50" s="17" t="n">
        <v>1286</v>
      </c>
      <c r="E50" s="17" t="n">
        <v>30</v>
      </c>
      <c r="F50" s="17" t="n">
        <f>-E50</f>
        <v>-30</v>
      </c>
      <c r="G50" s="16" t="n">
        <v>0.5272</v>
      </c>
      <c r="H50" s="17" t="n">
        <v>1379</v>
      </c>
      <c r="I50" s="20" t="n">
        <v>-0.65</v>
      </c>
      <c r="J50" s="3" t="str">
        <v>26.17 / 16.17</v>
      </c>
      <c r="K50" s="3" t="str">
        <v>B</v>
      </c>
      <c r="L50" s="3" t="str">
        <v>https://u.gg/lol/champions/olaf/counter</v>
      </c>
      <c r="M50" s="3" t="str">
        <v>https://lolalytics.com/lol/olaf/counters/</v>
      </c>
    </row>
    <row r="51" ht="42" customHeight="1">
      <c r="A51" s="3" t="str">
        <v>Warwick</v>
      </c>
      <c r="B51" s="16" t="n">
        <v>0.4879</v>
      </c>
      <c r="C51" s="16" t="n">
        <f>1-B51</f>
        <v>0.5121</v>
      </c>
      <c r="D51" s="17" t="n">
        <v>578</v>
      </c>
      <c r="E51" s="17" t="n">
        <v>-304</v>
      </c>
      <c r="F51" s="17" t="n">
        <f>-E51</f>
        <v>304</v>
      </c>
      <c r="G51" s="16" t="n">
        <v>0.5355</v>
      </c>
      <c r="H51" s="17" t="n">
        <v>633</v>
      </c>
      <c r="I51" s="20" t="n">
        <v>3.15</v>
      </c>
      <c r="J51" s="3" t="str">
        <v>26.17 / 16.17</v>
      </c>
      <c r="K51" s="3" t="str">
        <v>C</v>
      </c>
      <c r="L51" s="3" t="str">
        <v>https://u.gg/lol/champions/olaf/counter</v>
      </c>
      <c r="M51" s="3" t="str">
        <v>https://lolalytics.com/lol/olaf/counters/</v>
      </c>
    </row>
    <row r="52" ht="42" customHeight="1">
      <c r="A52" s="3" t="str">
        <v>Wukong</v>
      </c>
      <c r="B52" s="16"/>
      <c r="C52" s="16"/>
      <c r="D52" s="17"/>
      <c r="E52" s="17"/>
      <c r="F52" s="17"/>
      <c r="G52" s="16" t="n">
        <v>0.4964</v>
      </c>
      <c r="H52" s="17" t="n">
        <v>413</v>
      </c>
      <c r="I52" s="20" t="n">
        <v>-1.73</v>
      </c>
      <c r="J52" s="3" t="str">
        <v>26.17 / 16.17</v>
      </c>
      <c r="K52" s="3" t="str">
        <v>B</v>
      </c>
      <c r="L52" s="3" t="str">
        <v>https://u.gg/lol/champions/olaf/counter</v>
      </c>
      <c r="M52" s="3" t="str">
        <v>https://lolalytics.com/lol/olaf/counters/</v>
      </c>
    </row>
    <row r="53" ht="42" customHeight="1">
      <c r="A53" s="3" t="str">
        <v>Yasuo</v>
      </c>
      <c r="B53" s="16" t="n">
        <v>0.45770000000000005</v>
      </c>
      <c r="C53" s="16" t="n">
        <f>1-B53</f>
        <v>0.5423</v>
      </c>
      <c r="D53" s="17" t="n">
        <v>1029</v>
      </c>
      <c r="E53" s="17" t="n">
        <v>-78</v>
      </c>
      <c r="F53" s="17" t="n">
        <f>-E53</f>
        <v>78</v>
      </c>
      <c r="G53" s="16" t="n">
        <v>0.5485</v>
      </c>
      <c r="H53" s="17" t="n">
        <v>1103</v>
      </c>
      <c r="I53" s="20" t="n">
        <v>2.13</v>
      </c>
      <c r="J53" s="3" t="str">
        <v>26.17 / 16.17</v>
      </c>
      <c r="K53" s="3" t="str">
        <v>B</v>
      </c>
      <c r="L53" s="3" t="str">
        <v>https://u.gg/lol/champions/olaf/counter</v>
      </c>
      <c r="M53" s="3" t="str">
        <v>https://lolalytics.com/lol/olaf/counters/</v>
      </c>
    </row>
    <row r="54" ht="42" customHeight="1">
      <c r="A54" s="3" t="str">
        <v>Yone</v>
      </c>
      <c r="B54" s="16" t="n">
        <v>0.47859999999999997</v>
      </c>
      <c r="C54" s="16" t="n">
        <f>1-B54</f>
        <v>0.5214000000000001</v>
      </c>
      <c r="D54" s="17" t="n">
        <v>2804</v>
      </c>
      <c r="E54" s="17" t="n">
        <v>-299</v>
      </c>
      <c r="F54" s="17" t="n">
        <f>-E54</f>
        <v>299</v>
      </c>
      <c r="G54" s="16" t="n">
        <v>0.5271</v>
      </c>
      <c r="H54" s="17" t="n">
        <v>3041</v>
      </c>
      <c r="I54" s="20" t="n">
        <v>0.69</v>
      </c>
      <c r="J54" s="3" t="str">
        <v>26.17 / 16.17</v>
      </c>
      <c r="K54" s="3" t="str">
        <v>B</v>
      </c>
      <c r="L54" s="3" t="str">
        <v>https://u.gg/lol/champions/olaf/counter</v>
      </c>
      <c r="M54" s="3" t="str">
        <v>https://lolalytics.com/lol/olaf/counters/</v>
      </c>
    </row>
    <row r="55" ht="42" customHeight="1">
      <c r="A55" s="3" t="str">
        <v>Yorick</v>
      </c>
      <c r="B55" s="16" t="n">
        <v>0.5085999999999999</v>
      </c>
      <c r="C55" s="16" t="n">
        <f>1-B55</f>
        <v>0.49140000000000006</v>
      </c>
      <c r="D55" s="17" t="n">
        <v>934</v>
      </c>
      <c r="E55" s="17" t="n">
        <v>-225</v>
      </c>
      <c r="F55" s="17" t="n">
        <f>-E55</f>
        <v>225</v>
      </c>
      <c r="G55" s="16" t="n">
        <v>0.5109</v>
      </c>
      <c r="H55" s="17" t="n">
        <v>1051</v>
      </c>
      <c r="I55" s="20" t="n">
        <v>-1.55</v>
      </c>
      <c r="J55" s="3" t="str">
        <v>26.17 / 16.17</v>
      </c>
      <c r="K55" s="3" t="str">
        <v>D</v>
      </c>
      <c r="L55" s="3" t="str">
        <v>https://u.gg/lol/champions/olaf/counter</v>
      </c>
      <c r="M55" s="3" t="str">
        <v>https://lolalytics.com/lol/olaf/counters/</v>
      </c>
    </row>
    <row r="56" ht="42" customHeight="1">
      <c r="A56" s="3" t="str">
        <v>Zaahen</v>
      </c>
      <c r="B56" s="16" t="n">
        <v>0.4925</v>
      </c>
      <c r="C56" s="16" t="n">
        <f>1-B56</f>
        <v>0.5075000000000001</v>
      </c>
      <c r="D56" s="17" t="n">
        <v>1005</v>
      </c>
      <c r="E56" s="17" t="n">
        <v>-433</v>
      </c>
      <c r="F56" s="17" t="n">
        <f>-E56</f>
        <v>433</v>
      </c>
      <c r="G56" s="16" t="n">
        <v>0.5147999999999999</v>
      </c>
      <c r="H56" s="17" t="n">
        <v>1078</v>
      </c>
      <c r="I56" s="20" t="n">
        <v>-1.08</v>
      </c>
      <c r="J56" s="3" t="str">
        <v>26.17 / 16.17</v>
      </c>
      <c r="K56" s="3" t="str">
        <v>C</v>
      </c>
      <c r="L56" s="3" t="str">
        <v>https://u.gg/lol/champions/olaf/counter</v>
      </c>
      <c r="M56" s="3" t="str">
        <v>https://lolalytics.com/lol/olaf/counters/</v>
      </c>
    </row>
    <row r="57">
      <c r="A57" s="3"/>
      <c r="B57" s="3"/>
      <c r="C57" s="3"/>
      <c r="D57" s="3"/>
      <c r="E57" s="3"/>
      <c r="F57" s="3"/>
      <c r="G57" s="3"/>
      <c r="H57" s="3"/>
      <c r="I57" s="3"/>
      <c r="J57" s="3"/>
      <c r="K57" s="3"/>
      <c r="L57" s="3"/>
      <c r="M57" s="3"/>
    </row>
    <row r="58">
      <c r="A58" s="3"/>
      <c r="B58" s="3"/>
      <c r="C58" s="3"/>
      <c r="D58" s="3"/>
      <c r="E58" s="3"/>
      <c r="F58" s="3"/>
      <c r="G58" s="3"/>
      <c r="H58" s="3"/>
      <c r="I58" s="3"/>
      <c r="J58" s="3"/>
      <c r="K58" s="3"/>
      <c r="L58" s="3"/>
      <c r="M58" s="3"/>
    </row>
    <row r="59">
      <c r="A59" s="3"/>
      <c r="B59" s="3"/>
      <c r="C59" s="3"/>
      <c r="D59" s="3"/>
      <c r="E59" s="3"/>
      <c r="F59" s="3"/>
      <c r="G59" s="3"/>
      <c r="H59" s="3"/>
      <c r="I59" s="3"/>
      <c r="J59" s="3"/>
      <c r="K59" s="3"/>
      <c r="L59" s="3"/>
      <c r="M59" s="3"/>
    </row>
    <row r="60">
      <c r="A60" s="3"/>
      <c r="B60" s="3"/>
      <c r="C60" s="3"/>
      <c r="D60" s="3"/>
      <c r="E60" s="3"/>
      <c r="F60" s="3"/>
      <c r="G60" s="3"/>
      <c r="H60" s="3"/>
      <c r="I60" s="3"/>
      <c r="J60" s="3"/>
      <c r="K60" s="3"/>
      <c r="L60" s="3"/>
      <c r="M60" s="3"/>
    </row>
    <row r="61">
      <c r="A61" s="3"/>
      <c r="B61" s="3"/>
      <c r="C61" s="3"/>
      <c r="D61" s="3"/>
      <c r="E61" s="3"/>
      <c r="F61" s="3"/>
      <c r="G61" s="3"/>
      <c r="H61" s="3"/>
      <c r="I61" s="3"/>
      <c r="J61" s="3"/>
      <c r="K61" s="3"/>
      <c r="L61" s="3"/>
      <c r="M61" s="3"/>
    </row>
    <row r="62">
      <c r="A62" s="3"/>
      <c r="B62" s="3"/>
      <c r="C62" s="3"/>
      <c r="D62" s="3"/>
      <c r="E62" s="3"/>
      <c r="F62" s="3"/>
      <c r="G62" s="3"/>
      <c r="H62" s="3"/>
      <c r="I62" s="3"/>
      <c r="J62" s="3"/>
      <c r="K62" s="3"/>
      <c r="L62" s="3"/>
      <c r="M62" s="3"/>
    </row>
    <row r="63">
      <c r="A63" s="3"/>
      <c r="B63" s="3"/>
      <c r="C63" s="3"/>
      <c r="D63" s="3"/>
      <c r="E63" s="3"/>
      <c r="F63" s="3"/>
      <c r="G63" s="3"/>
      <c r="H63" s="3"/>
      <c r="I63" s="3"/>
      <c r="J63" s="3"/>
      <c r="K63" s="3"/>
      <c r="L63" s="3"/>
      <c r="M63" s="3"/>
    </row>
    <row r="64">
      <c r="A64" s="3"/>
      <c r="B64" s="3"/>
      <c r="C64" s="3"/>
      <c r="D64" s="3"/>
      <c r="E64" s="3"/>
      <c r="F64" s="3"/>
      <c r="G64" s="3"/>
      <c r="H64" s="3"/>
      <c r="I64" s="3"/>
      <c r="J64" s="3"/>
      <c r="K64" s="3"/>
      <c r="L64" s="3"/>
      <c r="M64" s="3"/>
    </row>
    <row r="65">
      <c r="A65" s="3"/>
      <c r="B65" s="3"/>
      <c r="C65" s="3"/>
      <c r="D65" s="3"/>
      <c r="E65" s="3"/>
      <c r="F65" s="3"/>
      <c r="G65" s="3"/>
      <c r="H65" s="3"/>
      <c r="I65" s="3"/>
      <c r="J65" s="3"/>
      <c r="K65" s="3"/>
      <c r="L65" s="3"/>
      <c r="M65" s="3"/>
    </row>
    <row r="66">
      <c r="A66" s="3"/>
      <c r="B66" s="3"/>
      <c r="C66" s="3"/>
      <c r="D66" s="3"/>
      <c r="E66" s="3"/>
      <c r="F66" s="3"/>
      <c r="G66" s="3"/>
      <c r="H66" s="3"/>
      <c r="I66" s="3"/>
      <c r="J66" s="3"/>
      <c r="K66" s="3"/>
      <c r="L66" s="3"/>
      <c r="M66" s="3"/>
    </row>
  </sheetData>
  <conditionalFormatting sqref="K6:K56">
    <cfRule type="cellIs" dxfId="14" priority="1" operator="equal">
      <formula>"Z"</formula>
    </cfRule>
    <cfRule type="cellIs" dxfId="15" priority="2" operator="equal">
      <formula>"A"</formula>
    </cfRule>
    <cfRule type="cellIs" dxfId="16" priority="3" operator="equal">
      <formula>"B"</formula>
    </cfRule>
    <cfRule type="cellIs" dxfId="17" priority="4" operator="equal">
      <formula>"C"</formula>
    </cfRule>
    <cfRule type="cellIs" dxfId="18" priority="5" operator="equal">
      <formula>"D"</formula>
    </cfRule>
    <cfRule type="cellIs" dxfId="19" priority="6" operator="equal">
      <formula>"E"</formula>
    </cfRule>
    <cfRule type="cellIs" dxfId="20" priority="7" operator="equal">
      <formula>"F"</formula>
    </cfRule>
  </conditionalFormatting>
  <hyperlinks>
    <hyperlink ref="L6" r:id="rIdMatchupLink1"/>
    <hyperlink ref="M6" r:id="rIdMatchupLink2"/>
    <hyperlink ref="L7" r:id="rIdMatchupLink3"/>
    <hyperlink ref="M7" r:id="rIdMatchupLink4"/>
    <hyperlink ref="L8" r:id="rIdMatchupLink5"/>
    <hyperlink ref="M8" r:id="rIdMatchupLink6"/>
    <hyperlink ref="L9" r:id="rIdMatchupLink7"/>
    <hyperlink ref="M9" r:id="rIdMatchupLink8"/>
    <hyperlink ref="L10" r:id="rIdMatchupLink9"/>
    <hyperlink ref="M10" r:id="rIdMatchupLink10"/>
    <hyperlink ref="L11" r:id="rIdMatchupLink11"/>
    <hyperlink ref="M11" r:id="rIdMatchupLink12"/>
    <hyperlink ref="L12" r:id="rIdMatchupLink13"/>
    <hyperlink ref="M12" r:id="rIdMatchupLink14"/>
    <hyperlink ref="L13" r:id="rIdMatchupLink15"/>
    <hyperlink ref="M13" r:id="rIdMatchupLink16"/>
    <hyperlink ref="L14" r:id="rIdMatchupLink17"/>
    <hyperlink ref="M14" r:id="rIdMatchupLink18"/>
    <hyperlink ref="L15" r:id="rIdMatchupLink19"/>
    <hyperlink ref="M15" r:id="rIdMatchupLink20"/>
    <hyperlink ref="L16" r:id="rIdMatchupLink21"/>
    <hyperlink ref="M16" r:id="rIdMatchupLink22"/>
    <hyperlink ref="L17" r:id="rIdMatchupLink23"/>
    <hyperlink ref="M17" r:id="rIdMatchupLink24"/>
    <hyperlink ref="L18" r:id="rIdMatchupLink25"/>
    <hyperlink ref="M18" r:id="rIdMatchupLink26"/>
    <hyperlink ref="L19" r:id="rIdMatchupLink27"/>
    <hyperlink ref="M19" r:id="rIdMatchupLink28"/>
    <hyperlink ref="L20" r:id="rIdMatchupLink29"/>
    <hyperlink ref="M20" r:id="rIdMatchupLink30"/>
    <hyperlink ref="L21" r:id="rIdMatchupLink31"/>
    <hyperlink ref="M21" r:id="rIdMatchupLink32"/>
    <hyperlink ref="L22" r:id="rIdMatchupLink33"/>
    <hyperlink ref="M22" r:id="rIdMatchupLink34"/>
    <hyperlink ref="L23" r:id="rIdMatchupLink35"/>
    <hyperlink ref="M23" r:id="rIdMatchupLink36"/>
    <hyperlink ref="L24" r:id="rIdMatchupLink37"/>
    <hyperlink ref="M24" r:id="rIdMatchupLink38"/>
    <hyperlink ref="L25" r:id="rIdMatchupLink39"/>
    <hyperlink ref="M25" r:id="rIdMatchupLink40"/>
    <hyperlink ref="L26" r:id="rIdMatchupLink41"/>
    <hyperlink ref="M26" r:id="rIdMatchupLink42"/>
    <hyperlink ref="L27" r:id="rIdMatchupLink43"/>
    <hyperlink ref="M27" r:id="rIdMatchupLink44"/>
    <hyperlink ref="L28" r:id="rIdMatchupLink45"/>
    <hyperlink ref="M28" r:id="rIdMatchupLink46"/>
    <hyperlink ref="L29" r:id="rIdMatchupLink47"/>
    <hyperlink ref="M29" r:id="rIdMatchupLink48"/>
    <hyperlink ref="L30" r:id="rIdMatchupLink49"/>
    <hyperlink ref="M30" r:id="rIdMatchupLink50"/>
    <hyperlink ref="L31" r:id="rIdMatchupLink51"/>
    <hyperlink ref="M31" r:id="rIdMatchupLink52"/>
    <hyperlink ref="L32" r:id="rIdMatchupLink53"/>
    <hyperlink ref="M32" r:id="rIdMatchupLink54"/>
    <hyperlink ref="L33" r:id="rIdMatchupLink55"/>
    <hyperlink ref="M33" r:id="rIdMatchupLink56"/>
    <hyperlink ref="L34" r:id="rIdMatchupLink57"/>
    <hyperlink ref="M34" r:id="rIdMatchupLink58"/>
    <hyperlink ref="L35" r:id="rIdMatchupLink59"/>
    <hyperlink ref="M35" r:id="rIdMatchupLink60"/>
    <hyperlink ref="L36" r:id="rIdMatchupLink61"/>
    <hyperlink ref="M36" r:id="rIdMatchupLink62"/>
    <hyperlink ref="L37" r:id="rIdMatchupLink63"/>
    <hyperlink ref="M37" r:id="rIdMatchupLink64"/>
    <hyperlink ref="L38" r:id="rIdMatchupLink65"/>
    <hyperlink ref="M38" r:id="rIdMatchupLink66"/>
    <hyperlink ref="L39" r:id="rIdMatchupLink67"/>
    <hyperlink ref="M39" r:id="rIdMatchupLink68"/>
    <hyperlink ref="L40" r:id="rIdMatchupLink69"/>
    <hyperlink ref="M40" r:id="rIdMatchupLink70"/>
    <hyperlink ref="L41" r:id="rIdMatchupLink71"/>
    <hyperlink ref="M41" r:id="rIdMatchupLink72"/>
    <hyperlink ref="L42" r:id="rIdMatchupLink73"/>
    <hyperlink ref="M42" r:id="rIdMatchupLink74"/>
    <hyperlink ref="L43" r:id="rIdMatchupLink75"/>
    <hyperlink ref="M43" r:id="rIdMatchupLink76"/>
    <hyperlink ref="L44" r:id="rIdMatchupLink77"/>
    <hyperlink ref="M44" r:id="rIdMatchupLink78"/>
    <hyperlink ref="L45" r:id="rIdMatchupLink79"/>
    <hyperlink ref="M45" r:id="rIdMatchupLink80"/>
    <hyperlink ref="L46" r:id="rIdMatchupLink81"/>
    <hyperlink ref="M46" r:id="rIdMatchupLink82"/>
    <hyperlink ref="L47" r:id="rIdMatchupLink83"/>
    <hyperlink ref="M47" r:id="rIdMatchupLink84"/>
    <hyperlink ref="L48" r:id="rIdMatchupLink85"/>
    <hyperlink ref="M48" r:id="rIdMatchupLink86"/>
    <hyperlink ref="L49" r:id="rIdMatchupLink87"/>
    <hyperlink ref="M49" r:id="rIdMatchupLink88"/>
    <hyperlink ref="L50" r:id="rIdMatchupLink89"/>
    <hyperlink ref="M50" r:id="rIdMatchupLink90"/>
    <hyperlink ref="L51" r:id="rIdMatchupLink91"/>
    <hyperlink ref="M51" r:id="rIdMatchupLink92"/>
    <hyperlink ref="L52" r:id="rIdMatchupLink93"/>
    <hyperlink ref="M52" r:id="rIdMatchupLink94"/>
    <hyperlink ref="L53" r:id="rIdMatchupLink95"/>
    <hyperlink ref="M53" r:id="rIdMatchupLink96"/>
    <hyperlink ref="L54" r:id="rIdMatchupLink97"/>
    <hyperlink ref="M54" r:id="rIdMatchupLink98"/>
    <hyperlink ref="L55" r:id="rIdMatchupLink99"/>
    <hyperlink ref="M55" r:id="rIdMatchupLink100"/>
    <hyperlink ref="L56" r:id="rIdMatchupLink101"/>
    <hyperlink ref="M56" r:id="rIdMatchupLink102"/>
  </hyperlinks>
  <pageMargins left="0.7" right="0.7" top="0.75" bottom="0.75" header="0.3" footer="0.3"/>
  <tableParts count="1">
    <tablePart r:id="Rb3bb2aedbd2849fa"/>
  </tableParts>
</worksheet>
</file>

<file path=xl/worksheets/sheet5.xml><?xml version="1.0" encoding="utf-8"?>
<worksheet xmlns="http://schemas.openxmlformats.org/spreadsheetml/2006/main" xmlns:r="http://schemas.openxmlformats.org/officeDocument/2006/relationships">
  <sheetPr>
    <tabColor rgb="FF8F9AA9"/>
  </sheetPr>
  <sheetViews>
    <sheetView showGridLines="0" workbookViewId="0"/>
  </sheetViews>
  <sheetFormatPr defaultRowHeight="15"/>
  <cols>
    <col min="1" max="1" width="29" hidden="0" customWidth="1"/>
    <col min="2" max="2" width="114" hidden="0" customWidth="1"/>
  </cols>
  <sheetData>
    <row r="1">
      <c r="A1" s="3"/>
      <c r="B1" s="3"/>
    </row>
    <row r="2" ht="28" customHeight="1">
      <c r="A2" s="3"/>
      <c r="B2" s="5" t="str">
        <v>Bewertung, Builds und Quellen</v>
      </c>
    </row>
    <row r="3">
      <c r="A3" s="3"/>
      <c r="B3" s="3"/>
    </row>
    <row r="4">
      <c r="A4" s="3"/>
      <c r="B4" s="3"/>
    </row>
    <row r="5" ht="45" customHeight="1">
      <c r="A5" s="22" t="str">
        <v>Geltungsbereich</v>
      </c>
      <c r="B5" s="23" t="str">
        <v>Revision vom 10.09.2026 für Live-Patch 26.18, Summoner’s Rift, Ranked Solo Queue, Toplane. Die unabhängig abgerufenen Paarungsstatistiken zeigen noch 26.17/16.17. Sie werden nicht als 26.18-Ergebnisse ausgegeben.</v>
      </c>
    </row>
    <row r="6" ht="60" customHeight="1">
      <c r="A6" s="21" t="str">
        <v>Was wurde korrigiert?</v>
      </c>
      <c r="B6" s="3" t="str">
        <v>Alle 51 Einträge inhaltlich auf Konsistenz geprüft. Paarungsstatistik ersetzt, vier Pool-Belege erneuert, Lane und späte Side getrennt, überzogene Gesamturteile korrigiert. Die Änderung pro Champion steht in Übersicht und Einzeldatei. Alte Version bleibt separat erhalten.</v>
      </c>
    </row>
    <row r="7" ht="60" customHeight="1">
      <c r="A7" s="22" t="str">
        <v>Quellenwahl</v>
      </c>
      <c r="B7" s="23" t="str">
        <v>Riot für Patchänderungen und Kit-Grundlagen, U.GG und LoLalytics für Paarungsdaten. Mobalytics und Mobafire sind keine Belegquellen dieser Revision. Ein Quellenwechsel allein beweist keinen Tierwechsel; jedes Tier bleibt eigene taktische Synthese.</v>
      </c>
    </row>
    <row r="8" ht="60" customHeight="1">
      <c r="A8" s="21" t="str">
        <v>Championpool</v>
      </c>
      <c r="B8" s="3" t="str">
        <v>51 bisherige Gegner beibehalten. Aufnahmebasis sind gekennzeichnete 26.17-Pickraten: reguläre Toplaner ungefähr ab 0,5 %, zusätzliche Flex-Picks ab 1 %. Ein vollständig gereifter 26.18-Pool ist am Patchbeginn noch nicht belegt. Grenzfälle können sich ändern.</v>
      </c>
    </row>
    <row r="9" ht="60" customHeight="1">
      <c r="A9" s="22" t="str">
        <v>Pool-Snapshots</v>
      </c>
      <c r="B9" s="23" t="str">
        <v>47 LoLalytics-Werte aus der bisherigen Recherche vom 08.09.2026 beibehalten. Kled, Sion, Tryndamere und Zaahen am 10.09.2026 unabhängig bei LoLalytics neu abgelesen. Alle bleiben über der Aufnahmeschwelle. Anbieter-Caches sind nicht zeitsynchron.</v>
      </c>
    </row>
    <row r="10" ht="60" customHeight="1">
      <c r="A10" s="21" t="str">
        <v>Statistik lesen</v>
      </c>
      <c r="B10" s="3" t="str">
        <v>U.GG liefert Gegner-WR und Gegner-GD15. Die Tabelle berechnet daraus Olaf-WR = 1 − Gegner-WR und Olaf-GD15 = − Gegner-GD15. GD15 ist eine beobachtete Goldbilanz mit Jungle-/Roam-Einfluss, kein reiner mechanischer Lanetest.</v>
      </c>
    </row>
    <row r="11" ht="60" customHeight="1">
      <c r="A11" s="22" t="str">
        <v>LoLalytics vergleichen</v>
      </c>
      <c r="B11" s="23" t="str">
        <v>Rohe Olaf-WR und Anbieter-Delta 2 stehen separat. Delta 2 normalisiert nach der Methode des Anbieters beide Champion-Winrates. Kein direkter Roh-WR-Vergleich mit U.GG und kein Mittelwert. Negative Delta 2 kann auch bei roher WR über 50 % auftreten.</v>
      </c>
    </row>
    <row r="12" ht="60" customHeight="1">
      <c r="A12" s="21" t="str">
        <v>Datenlücken</v>
      </c>
      <c r="B12" s="3" t="str">
        <v>U.GG-Paarungswerte für Quinn, Sylas, Vladimir und Wukong waren in der abgerufenen Liste nicht enthalten. Leere Zellen bedeuten unbekannt. LoLalytics bietet hier zusätzliche kleinere Stichproben. Keine Werte aus anderen Rollen oder alten Cache-Varianten eingefüllt.</v>
      </c>
    </row>
    <row r="13" ht="60" customHeight="1">
      <c r="A13" s="22" t="str">
        <v>Tier-Methode</v>
      </c>
      <c r="B13" s="23" t="str">
        <v>Gesamt-Tier beschreibt Olafs umsetzbaren Plan über die Partie. Frühe Druckfenster, R-Spike und erreichbarer Farm-/Turmvorteil zählen ebenso wie spätere Duelldefizite. Kein automatisches Abwerten, nur weil der Gegner bei drei Items einen offenen Statcheck gewinnen kann.</v>
      </c>
    </row>
    <row r="14" ht="60" customHeight="1">
      <c r="A14" s="21" t="str">
        <v>Phasen getrennt</v>
      </c>
      <c r="B14" s="3" t="str">
        <v>Lane-Tier umfasst die frühe Lane inklusive Level 6. Späte Side bezieht sich auf 2–3 Items bei vergleichbaren Ressourcen. Gesamt-Tier ist kein arithmetischer Mittelwert; Einfluss auf Win Conditions und realistische Spielpläne entscheidet.</v>
      </c>
    </row>
    <row r="15" ht="60" customHeight="1">
      <c r="A15" s="22" t="str">
        <v>Tier-Skala</v>
      </c>
      <c r="B15" s="23" t="str">
        <v>Z extrem günstig; A deutlich günstig; B leicht günstig; C ausgeglichen/skillabhängig; D leicht ungünstig; E deutlich ungünstig; F extrem schwierig. In dieser Revision weder Z noch F ausreichend sicher begründet. Extremstufen werden nicht zur Verteilungserfüllung vergeben.</v>
      </c>
    </row>
    <row r="16" ht="60" customHeight="1">
      <c r="A16" s="21" t="str">
        <v>Vertrauen in die Urteile</v>
      </c>
      <c r="B16" s="3" t="str">
        <v>Tiers, Rune, Summoners und Itemreihenfolgen sind qualitative Empfehlungen, keine nachgewiesenen Bestwerte. Meist etwa eine Tierstufe Spielraum. K’Sante und Zaahen besonders unsicher. Die Sammlung wurde nicht durch eigene Ingame-Testreihen validiert.</v>
      </c>
    </row>
    <row r="17" ht="60" customHeight="1">
      <c r="A17" s="22" t="str">
        <v>26.18-Abgleich</v>
      </c>
      <c r="B17" s="23" t="str">
        <v>Unter den 51 Gegnern erhält Zaahen eine direkte Änderung: höherer Q2-Grundschaden und früherer Q-Cooldown-Start beim Eintritt in Wiederbelebung. Olaf selbst bleibt unverändert. Rageblade-Stacks halten länger. Classic- und ARAM-Änderungen nicht auf Ranked übertragen.</v>
      </c>
    </row>
    <row r="18" ht="60" customHeight="1">
      <c r="A18" s="21" t="str">
        <v>Skill-Reihenfolge</v>
      </c>
      <c r="B18" s="3" t="str">
        <v>U.GG 26.17 stützt Q → E → W als verbreiteten Standard. Drei Q-Punkte und dann E max bleibt eine mechanisch plausible Lane-Anpassung bei verlässlichem E-Kontakt, aber nicht für jedes Matchup statistisch als optimal belegt.</v>
      </c>
    </row>
    <row r="19" ht="60" customHeight="1">
      <c r="A19" s="22" t="str">
        <v>Zusätzliche W-Punkte</v>
      </c>
      <c r="B19" s="23" t="str">
        <v>Keine belastbar belegte Empfehlung, gegen einen bestimmten Gegner früh W zu maximieren. W-Ränge erhöhen Angriffstempo und Basisschild und verkürzen den Cooldown. W selbst gibt keinen Lebensraub; Rank-ups verbessern nicht die Missing-HP-Skalierung.</v>
      </c>
    </row>
    <row r="20" ht="60" customHeight="1">
      <c r="A20" s="21" t="str">
        <v>Freeze und Tiamat</v>
      </c>
      <c r="B20" s="3" t="str">
        <v>Sowohl Ravenous als auch Stridebreaker bauen auf Tiamat/Cleave auf. Deshalb ist Stride kein grundsätzlich freeze-freundlicher Gegenentwurf zu Hydra. Erst entscheiden, ob Farm-Denial oder schneller Crash gerade mehr wert ist.</v>
      </c>
    </row>
    <row r="21" ht="60" customHeight="1">
      <c r="A21" s="22" t="str">
        <v>PTA</v>
      </c>
      <c r="B21" s="23" t="str">
        <v>Wählen, wenn nach einem klaren Defensiv-CD drei Autos und ein kurzes Killfenster realistisch sind. Nicht pauschal gegen Squishies. Jax-E, Akali-W, Vayne-R/Q oder Pool können die Aktivierung verhindern. Der heutige PTA-Buff ist nicht der alte Team-Expose-Debuff.</v>
      </c>
    </row>
    <row r="22" ht="60" customHeight="1">
      <c r="A22" s="21" t="str">
        <v>Conqueror</v>
      </c>
      <c r="B22" s="3" t="str">
        <v>Wählen bei mehreren Melee-Zyklen, hohen effektiven HP und Re-engages innerhalb sinnvoller Stack-Uptime. Q/E tragen zum Aufbau bei. Vollständiger Rückzug kann Stacks verlieren lassen; die Rune rechtfertigt keine aussichtslose Verfolgung.</v>
      </c>
    </row>
    <row r="23" ht="60" customHeight="1">
      <c r="A23" s="22" t="str">
        <v>Comp Override</v>
      </c>
      <c r="B23" s="23" t="str">
        <v>Vor Champselect-Ende prüfen: Wen erreichst du wirklich, wer hält die Side, wie lang sind die Teamfights? Die alternative Rune/Spells stehen pro Gegner. Dies ist eine Bedingung, kein nachträglicher Runenwechsel während des Spiels.</v>
      </c>
    </row>
    <row r="24" ht="60" customHeight="1">
      <c r="A24" s="21" t="str">
        <v>Olaf-Grundmechanik</v>
      </c>
      <c r="B24" s="3" t="str">
        <v>Ragnarok verhindert/reinigt Kontrolle, nicht Schaden, Terrain, Unverwundbarkeit, Dodge oder Unsichtbarkeit. Autos und E auf Champions verlängern R; Q allein hält sie nicht am Laufen. W als Auto-Reset/Schutz im treffenden Auto-Fenster nutzen, nicht möglichst spät um jeden Preis.</v>
      </c>
    </row>
    <row r="25" ht="60" customHeight="1">
      <c r="A25" s="22" t="str">
        <v>Bruiser-Olaf</v>
      </c>
      <c r="B25" s="23" t="str">
        <v>Stridebreaker → Death’s Dance gegen physischen Druck, Maw gegen AP-Burst oder Sterak’s gegen gemischten Burst. Stride hält Ziele erreichbar; es ist kein Lifesteal-Item. Experimental Hexplate ist eine Alternative für wiederholte R-Fenster, wenn kein dringender defensiver Kauf ansteht.</v>
      </c>
    </row>
    <row r="26" ht="60" customHeight="1">
      <c r="A26" s="21" t="str">
        <v>Ravenous-Olaf</v>
      </c>
      <c r="B26" s="3" t="str">
        <v>Ravenous Hydra → passende Defensive oder Black Cleaver bei Armor. Gut für wiederholte Trades, Waveclear und Erholung. Frühes Tiamat kann einen wertvollen Freeze erschweren; Sustain hilft nur, wenn du zwischen den All-ins tatsächlich heilen kannst.</v>
      </c>
    </row>
    <row r="27" ht="60" customHeight="1">
      <c r="A27" s="22" t="str">
        <v>PTA / offensiver Olaf</v>
      </c>
      <c r="B27" s="23" t="str">
        <v>Meist zuerst Stridebreaker für echten Zugang. Fiendhunter Bolts danach/als drittes, wenn drei Autos nach R und ausreichendes Überleben realistisch sind. Mehr Burst bringt nichts gegen eine frische Dodge-/Stealth-/Invulnerability-Phase.</v>
      </c>
    </row>
    <row r="28" ht="75" customHeight="1">
      <c r="A28" s="21" t="str">
        <v>Kritlaf</v>
      </c>
      <c r="B28" s="3" t="str">
        <v>Situative Weiterentwicklung: Stridebreaker oder Ravenous → Fiendhunter Bolts → Infinity Edge, nur bei Vorsprung, sicherer Auto-Uptime und geringer Burstgefahr. Defensive kann vorgezogen werden. Mechanik: R aktiviert Bolts-Autofenster; Crit erhöht Auto-Schaden, Lifesteal profitiert von tatsächlich verursachtem Auto-Schaden. Kein pauschaler Counter gegen Jax/Vayne.</v>
      </c>
    </row>
    <row r="29" ht="60" customHeight="1">
      <c r="A29" s="22" t="str">
        <v>Splitlaf</v>
      </c>
      <c r="B29" s="23" t="str">
        <v>Ravenous → Hullbreaker, wenn Waveclear in sichere Turmzeit umgewandelt werden kann; bei gefährlicher Side erst Defensive oder Anti-Armor. Gegen Shen/Sion-artige Rotationen plausibel. Das Label beschreibt den Spielplan, nicht einen Bonus, der jedes isolierte Duell gewinnt.</v>
      </c>
    </row>
    <row r="30" ht="75" customHeight="1">
      <c r="A30" s="21" t="str">
        <v>Andere Heilpfade</v>
      </c>
      <c r="B30" s="3" t="str">
        <v>BotRK liefert Auto-Sustain/HP-Schaden, verlangt Kontakt und ist gegen hohe Armor kein universeller Tankkonter. Endless Hunger passt eher zu späteren langen Kämpfen/Takedowns als zum automatischen Lane-Rush. Spirit Visage lohnt besonders gegen AP mit zusätzlicher Heilung/Schilden im Team; es ersetzt fehlenden Schaden nicht.</v>
      </c>
    </row>
    <row r="31" ht="60" customHeight="1">
      <c r="A31" s="22" t="str">
        <v>Boots und Antiheal</v>
      </c>
      <c r="B31" s="23" t="str">
        <v>Steelcaps gegen relevante Autos/physische Bedrohung; Armor stoppt keinen True Damage. Mercury’s nicht allein wegen eines mit R übergehbaren Stuns kaufen: MR und die Phasen ohne R zählen. Antiheal vor dem entscheidenden Heal-Fenster aktivieren; keine Verdopplung gleicher Grievous-Wounds-Wirkung erwarten.</v>
      </c>
    </row>
    <row r="32" ht="60" customHeight="1">
      <c r="A32" s="21" t="str">
        <v>Summoners / Top-Quest</v>
      </c>
      <c r="B32" s="3" t="str">
        <v>Flash + Ghost ist der Standard für Chase plus Terrain-Ausweg. Ghost + Ignite ist gezielt gegen Heilduelle mit bewusstem Gankrisiko. Flash + Teleport stabilisiert schwierige Resets. Die Top-Quest kann ohne gewähltes TP später Teleport bereitstellen; der frühe Verzicht bleibt trotzdem real.</v>
      </c>
    </row>
    <row r="33" ht="60" customHeight="1">
      <c r="A33" s="22" t="str">
        <v>Item-Konflikte</v>
      </c>
      <c r="B33" s="23" t="str">
        <v>Maw und Sterak’s sind alternative Lifeline-Käufe, kein gemeinsamer Standard. Black Cleaver nur mit relevantem Armor-/Teamschadenswert; Olafs Q-Shred und E mitdenken. Itemreihenfolgen sind bedingte Empfehlungen, keine sechs fest verdrahteten Slots.</v>
      </c>
    </row>
    <row r="34" ht="60" customHeight="1">
      <c r="A34" s="21" t="str">
        <v>Jungle-Heilung</v>
      </c>
      <c r="B34" s="3" t="str">
        <v>Olafs Passive liefert die Basis, zusätzlicher Lebensraub braucht treffende Autos. DD-Heilung ist an Takedowns gebunden; Stride besitzt keinen Lebensraub. Gegen Stealth/Kiting mehr Kontakt oder Defensive kaufen, statt Heilwerte ohne Auto-Uptime zu stapeln.</v>
      </c>
    </row>
    <row r="35" ht="60" customHeight="1">
      <c r="A35" s="22" t="str">
        <v>Jungle ohne Ravenous</v>
      </c>
      <c r="B35" s="23" t="str">
        <v>Mechanische Option für Schaden und Auto-Sustain: Stridebreaker, danach passende Defensive (Death’s Dance gegen AD, Maw gegen AP), BotRK bei langen erreichbaren Auto-Fights. Kein für 26.18 nachgewiesener optimaler Pfad. Smite + Flash als sichere Voreinstellung.</v>
      </c>
    </row>
    <row r="36" ht="30" customHeight="1">
      <c r="A36" s="21" t="str">
        <v>Quelle: Live-Patch</v>
      </c>
      <c r="B36" s="15" t="str">
        <v>https://www.leagueoflegends.com/en-us/news/game-updates/league-of-legends-patch-26-18-notes/</v>
      </c>
    </row>
    <row r="37" ht="30" customHeight="1">
      <c r="A37" s="22" t="str">
        <v>Quelle: U.GG Paarungen</v>
      </c>
      <c r="B37" s="24" t="str">
        <v>https://u.gg/lol/champions/olaf/counter</v>
      </c>
    </row>
    <row r="38" ht="30" customHeight="1">
      <c r="A38" s="21" t="str">
        <v>Quelle: LoLalytics Paarungen</v>
      </c>
      <c r="B38" s="15" t="str">
        <v>https://lolalytics.com/lol/olaf/counters/</v>
      </c>
    </row>
    <row r="39" ht="30" customHeight="1">
      <c r="A39" s="22" t="str">
        <v>Quelle: Skill-Standard</v>
      </c>
      <c r="B39" s="24" t="str">
        <v>https://u.gg/lol/champions/olaf/build</v>
      </c>
    </row>
    <row r="40" ht="30" customHeight="1">
      <c r="A40" s="21" t="str">
        <v>Quelle: W-Rework</v>
      </c>
      <c r="B40" s="15" t="str">
        <v>https://www.leagueoflegends.com/en-us/news/game-updates/patch-12-9-notes/</v>
      </c>
    </row>
    <row r="41" ht="30" customHeight="1">
      <c r="A41" s="22" t="str">
        <v>Quelle: W-Schildkorrektur</v>
      </c>
      <c r="B41" s="24" t="str">
        <v>https://www.leagueoflegends.com/en-us/news/game-updates/patch-12-11-notes/</v>
      </c>
    </row>
    <row r="42" ht="30" customHeight="1">
      <c r="A42" s="21" t="str">
        <v>Quelle: Saisonitems</v>
      </c>
      <c r="B42" s="15" t="str">
        <v>https://www.leagueoflegends.com/en-us/news/game-updates/patch-26-1-notes/</v>
      </c>
    </row>
    <row r="43" ht="30" customHeight="1">
      <c r="A43" s="22" t="str">
        <v>Quelle: Bolts-Anpassung</v>
      </c>
      <c r="B43" s="24" t="str">
        <v>https://www.leagueoflegends.com/en-gb/news/game-updates/patch-26-2-notes/</v>
      </c>
    </row>
    <row r="44" ht="30" customHeight="1">
      <c r="A44" s="21" t="str">
        <v>Quelle: Quest-Anpassung</v>
      </c>
      <c r="B44" s="15" t="str">
        <v>https://www.leagueoflegends.com/en-us/news/game-updates/league-of-legends-patch-26-12-notes/</v>
      </c>
    </row>
    <row r="45" ht="30" customHeight="1">
      <c r="A45" s="22" t="str">
        <v>Quelle: PTA-Rework</v>
      </c>
      <c r="B45" s="24" t="str">
        <v>https://www.leagueoflegends.com/en-au/news/game-updates/patch-14-10-notes/</v>
      </c>
    </row>
    <row r="46">
      <c r="A46" s="3"/>
      <c r="B46" s="3"/>
    </row>
    <row r="47">
      <c r="A47" s="3"/>
      <c r="B47" s="3"/>
    </row>
    <row r="48">
      <c r="A48" s="3"/>
      <c r="B48" s="3"/>
    </row>
    <row r="49">
      <c r="A49" s="3"/>
      <c r="B49" s="3"/>
    </row>
    <row r="50">
      <c r="A50" s="3"/>
      <c r="B50" s="3"/>
    </row>
    <row r="51">
      <c r="A51" s="3"/>
      <c r="B51" s="3"/>
    </row>
    <row r="52">
      <c r="A52" s="3"/>
      <c r="B52" s="3"/>
    </row>
    <row r="53">
      <c r="A53" s="3"/>
      <c r="B53" s="3"/>
    </row>
    <row r="54">
      <c r="A54" s="3"/>
      <c r="B54" s="3"/>
    </row>
    <row r="55">
      <c r="A55" s="3"/>
      <c r="B55" s="3"/>
    </row>
    <row r="56">
      <c r="A56" s="3"/>
      <c r="B56" s="3"/>
    </row>
    <row r="57">
      <c r="A57" s="3"/>
      <c r="B57" s="3"/>
    </row>
    <row r="58">
      <c r="A58" s="3"/>
      <c r="B58" s="3"/>
    </row>
    <row r="59">
      <c r="A59" s="3"/>
      <c r="B59" s="3"/>
    </row>
    <row r="60">
      <c r="A60" s="3"/>
      <c r="B60" s="3"/>
    </row>
    <row r="61">
      <c r="A61" s="3"/>
      <c r="B61" s="3"/>
    </row>
    <row r="62">
      <c r="A62" s="3"/>
      <c r="B62" s="3"/>
    </row>
    <row r="63">
      <c r="A63" s="3"/>
      <c r="B63" s="3"/>
    </row>
    <row r="64">
      <c r="A64" s="3"/>
      <c r="B64" s="3"/>
    </row>
    <row r="65">
      <c r="A65" s="3"/>
      <c r="B65" s="3"/>
    </row>
  </sheetData>
  <hyperlinks>
    <hyperlink ref="B36" r:id="rIdMatchupLink1"/>
    <hyperlink ref="B37" r:id="rIdMatchupLink2"/>
    <hyperlink ref="B38" r:id="rIdMatchupLink3"/>
    <hyperlink ref="B39" r:id="rIdMatchupLink4"/>
    <hyperlink ref="B40" r:id="rIdMatchupLink5"/>
    <hyperlink ref="B41" r:id="rIdMatchupLink6"/>
    <hyperlink ref="B42" r:id="rIdMatchupLink7"/>
    <hyperlink ref="B43" r:id="rIdMatchupLink8"/>
    <hyperlink ref="B44" r:id="rIdMatchupLink9"/>
    <hyperlink ref="B45" r:id="rIdMatchupLink10"/>
  </hyperlinks>
  <pageMargins left="0.7" right="0.7" top="0.75" bottom="0.75" header="0.3" footer="0.3"/>
</worksheet>
</file>